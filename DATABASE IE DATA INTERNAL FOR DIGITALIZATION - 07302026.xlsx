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ea.zahra\Documents\1. Yamazumi - Line Balancing\Internal\"/>
    </mc:Choice>
  </mc:AlternateContent>
  <xr:revisionPtr revIDLastSave="0" documentId="13_ncr:1_{A744B5FB-722A-447A-941D-D0A80315174F}" xr6:coauthVersionLast="47" xr6:coauthVersionMax="47" xr10:uidLastSave="{00000000-0000-0000-0000-000000000000}"/>
  <bookViews>
    <workbookView xWindow="-120" yWindow="-120" windowWidth="29040" windowHeight="15720" xr2:uid="{03C4DA73-7012-4C53-B70C-208007AB39FF}"/>
  </bookViews>
  <sheets>
    <sheet name="DATAB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2" i="1" l="1"/>
  <c r="J392" i="1" s="1"/>
  <c r="K392" i="1" s="1"/>
  <c r="H391" i="1"/>
  <c r="J391" i="1" s="1"/>
  <c r="K391" i="1" s="1"/>
  <c r="H390" i="1"/>
  <c r="J390" i="1" s="1"/>
  <c r="K390" i="1" s="1"/>
  <c r="H389" i="1"/>
  <c r="J389" i="1" s="1"/>
  <c r="K389" i="1" s="1"/>
  <c r="H388" i="1"/>
  <c r="J388" i="1" s="1"/>
  <c r="K388" i="1" s="1"/>
  <c r="H387" i="1"/>
  <c r="J387" i="1" s="1"/>
  <c r="K387" i="1" s="1"/>
  <c r="H386" i="1"/>
  <c r="J386" i="1" s="1"/>
  <c r="K386" i="1" s="1"/>
  <c r="H385" i="1"/>
  <c r="J385" i="1" s="1"/>
  <c r="K385" i="1" s="1"/>
  <c r="H384" i="1"/>
  <c r="J384" i="1" s="1"/>
  <c r="K384" i="1" s="1"/>
  <c r="H383" i="1"/>
  <c r="J383" i="1" s="1"/>
  <c r="K383" i="1" s="1"/>
  <c r="H382" i="1"/>
  <c r="J382" i="1" s="1"/>
  <c r="K382" i="1" s="1"/>
  <c r="H381" i="1"/>
  <c r="J381" i="1" s="1"/>
  <c r="K381" i="1" s="1"/>
  <c r="H380" i="1"/>
  <c r="J380" i="1" s="1"/>
  <c r="K380" i="1" s="1"/>
  <c r="H379" i="1"/>
  <c r="J379" i="1" s="1"/>
  <c r="K379" i="1" s="1"/>
  <c r="H378" i="1"/>
  <c r="J378" i="1" s="1"/>
  <c r="K378" i="1" s="1"/>
  <c r="H377" i="1"/>
  <c r="J377" i="1" s="1"/>
  <c r="K377" i="1" s="1"/>
  <c r="H376" i="1"/>
  <c r="J376" i="1" s="1"/>
  <c r="K376" i="1" s="1"/>
  <c r="H375" i="1"/>
  <c r="J375" i="1" s="1"/>
  <c r="K375" i="1" s="1"/>
  <c r="H374" i="1"/>
  <c r="J374" i="1" s="1"/>
  <c r="K374" i="1" s="1"/>
  <c r="H373" i="1"/>
  <c r="J373" i="1" s="1"/>
  <c r="K373" i="1" s="1"/>
  <c r="H372" i="1"/>
  <c r="J372" i="1" s="1"/>
  <c r="K372" i="1" s="1"/>
  <c r="H371" i="1"/>
  <c r="J371" i="1" s="1"/>
  <c r="K371" i="1" s="1"/>
  <c r="H370" i="1"/>
  <c r="J370" i="1" s="1"/>
  <c r="K370" i="1" s="1"/>
  <c r="H369" i="1"/>
  <c r="J369" i="1" s="1"/>
  <c r="K369" i="1" s="1"/>
  <c r="H368" i="1"/>
  <c r="J368" i="1" s="1"/>
  <c r="K368" i="1" s="1"/>
  <c r="H367" i="1"/>
  <c r="J367" i="1" s="1"/>
  <c r="K367" i="1" s="1"/>
  <c r="H366" i="1"/>
  <c r="J366" i="1" s="1"/>
  <c r="K366" i="1" s="1"/>
  <c r="H365" i="1"/>
  <c r="J365" i="1" s="1"/>
  <c r="K365" i="1" s="1"/>
  <c r="H364" i="1"/>
  <c r="J364" i="1" s="1"/>
  <c r="K364" i="1" s="1"/>
  <c r="H363" i="1"/>
  <c r="J363" i="1" s="1"/>
  <c r="K363" i="1" s="1"/>
  <c r="H362" i="1"/>
  <c r="J362" i="1" s="1"/>
  <c r="K362" i="1" s="1"/>
  <c r="H361" i="1"/>
  <c r="J361" i="1" s="1"/>
  <c r="K361" i="1" s="1"/>
  <c r="H360" i="1"/>
  <c r="J360" i="1" s="1"/>
  <c r="K360" i="1" s="1"/>
  <c r="H359" i="1"/>
  <c r="J359" i="1" s="1"/>
  <c r="K359" i="1" s="1"/>
  <c r="H358" i="1"/>
  <c r="J358" i="1" s="1"/>
  <c r="K358" i="1" s="1"/>
  <c r="H357" i="1"/>
  <c r="J357" i="1" s="1"/>
  <c r="K357" i="1" s="1"/>
  <c r="H356" i="1"/>
  <c r="J356" i="1" s="1"/>
  <c r="K356" i="1" s="1"/>
  <c r="H355" i="1"/>
  <c r="J355" i="1" s="1"/>
  <c r="K355" i="1" s="1"/>
  <c r="H354" i="1"/>
  <c r="J354" i="1" s="1"/>
  <c r="K354" i="1" s="1"/>
  <c r="J353" i="1"/>
  <c r="K353" i="1" s="1"/>
  <c r="H353" i="1"/>
  <c r="H352" i="1"/>
  <c r="J352" i="1" s="1"/>
  <c r="K352" i="1" s="1"/>
  <c r="H351" i="1"/>
  <c r="J351" i="1" s="1"/>
  <c r="K351" i="1" s="1"/>
  <c r="H350" i="1"/>
  <c r="J350" i="1" s="1"/>
  <c r="K350" i="1" s="1"/>
  <c r="H349" i="1"/>
  <c r="J349" i="1" s="1"/>
  <c r="K349" i="1" s="1"/>
  <c r="H348" i="1"/>
  <c r="J348" i="1" s="1"/>
  <c r="K348" i="1" s="1"/>
  <c r="H347" i="1"/>
  <c r="J347" i="1" s="1"/>
  <c r="K347" i="1" s="1"/>
  <c r="H346" i="1"/>
  <c r="J346" i="1" s="1"/>
  <c r="K346" i="1" s="1"/>
  <c r="H345" i="1"/>
  <c r="J345" i="1" s="1"/>
  <c r="K345" i="1" s="1"/>
  <c r="H344" i="1"/>
  <c r="J344" i="1" s="1"/>
  <c r="K344" i="1" s="1"/>
  <c r="H343" i="1"/>
  <c r="J343" i="1" s="1"/>
  <c r="K343" i="1" s="1"/>
  <c r="H342" i="1"/>
  <c r="J342" i="1" s="1"/>
  <c r="K342" i="1" s="1"/>
  <c r="H341" i="1"/>
  <c r="J341" i="1" s="1"/>
  <c r="K341" i="1" s="1"/>
  <c r="H340" i="1"/>
  <c r="J340" i="1" s="1"/>
  <c r="K340" i="1" s="1"/>
  <c r="H339" i="1" l="1"/>
  <c r="J339" i="1" s="1"/>
  <c r="K339" i="1" s="1"/>
  <c r="H338" i="1"/>
  <c r="J338" i="1" s="1"/>
  <c r="K338" i="1" s="1"/>
  <c r="H337" i="1"/>
  <c r="J337" i="1" s="1"/>
  <c r="K337" i="1" s="1"/>
  <c r="H336" i="1"/>
  <c r="J336" i="1" s="1"/>
  <c r="K336" i="1" s="1"/>
  <c r="H335" i="1"/>
  <c r="J335" i="1" s="1"/>
  <c r="K335" i="1" s="1"/>
  <c r="J334" i="1"/>
  <c r="K334" i="1" s="1"/>
  <c r="H334" i="1"/>
  <c r="H333" i="1"/>
  <c r="J333" i="1" s="1"/>
  <c r="K333" i="1" s="1"/>
  <c r="H332" i="1"/>
  <c r="J332" i="1" s="1"/>
  <c r="K332" i="1" s="1"/>
  <c r="H331" i="1"/>
  <c r="J331" i="1" s="1"/>
  <c r="K331" i="1" s="1"/>
  <c r="H330" i="1"/>
  <c r="J330" i="1" s="1"/>
  <c r="K330" i="1" s="1"/>
  <c r="H329" i="1" l="1"/>
  <c r="J329" i="1" s="1"/>
  <c r="K329" i="1" s="1"/>
  <c r="H328" i="1"/>
  <c r="J328" i="1" s="1"/>
  <c r="K328" i="1" s="1"/>
  <c r="H327" i="1"/>
  <c r="J327" i="1" s="1"/>
  <c r="K327" i="1" s="1"/>
  <c r="H326" i="1"/>
  <c r="J326" i="1" s="1"/>
  <c r="K326" i="1" s="1"/>
  <c r="H325" i="1"/>
  <c r="J325" i="1" s="1"/>
  <c r="K325" i="1" s="1"/>
  <c r="H324" i="1"/>
  <c r="J324" i="1" s="1"/>
  <c r="K324" i="1" s="1"/>
  <c r="H323" i="1"/>
  <c r="J323" i="1" s="1"/>
  <c r="K323" i="1" s="1"/>
  <c r="H322" i="1"/>
  <c r="J322" i="1" s="1"/>
  <c r="K322" i="1" s="1"/>
  <c r="H321" i="1"/>
  <c r="J321" i="1" s="1"/>
  <c r="K321" i="1" s="1"/>
  <c r="H320" i="1"/>
  <c r="J320" i="1" s="1"/>
  <c r="K320" i="1" s="1"/>
  <c r="H319" i="1"/>
  <c r="J319" i="1" s="1"/>
  <c r="K319" i="1" s="1"/>
  <c r="H318" i="1"/>
  <c r="J318" i="1" s="1"/>
  <c r="K318" i="1" s="1"/>
  <c r="H317" i="1"/>
  <c r="J317" i="1" s="1"/>
  <c r="K317" i="1" s="1"/>
  <c r="H316" i="1"/>
  <c r="J316" i="1" s="1"/>
  <c r="K316" i="1" s="1"/>
  <c r="H315" i="1"/>
  <c r="J315" i="1" s="1"/>
  <c r="K315" i="1" s="1"/>
  <c r="H314" i="1"/>
  <c r="J314" i="1" s="1"/>
  <c r="K314" i="1" s="1"/>
  <c r="H313" i="1"/>
  <c r="J313" i="1" s="1"/>
  <c r="K313" i="1" s="1"/>
  <c r="H312" i="1"/>
  <c r="J312" i="1" s="1"/>
  <c r="K312" i="1" s="1"/>
  <c r="H311" i="1"/>
  <c r="J311" i="1" s="1"/>
  <c r="K311" i="1" s="1"/>
  <c r="H310" i="1"/>
  <c r="J310" i="1" s="1"/>
  <c r="K310" i="1" s="1"/>
  <c r="H309" i="1"/>
  <c r="J309" i="1" s="1"/>
  <c r="K309" i="1" s="1"/>
  <c r="H308" i="1"/>
  <c r="J308" i="1" s="1"/>
  <c r="K308" i="1" s="1"/>
  <c r="H307" i="1"/>
  <c r="J307" i="1" s="1"/>
  <c r="K307" i="1" s="1"/>
  <c r="H306" i="1"/>
  <c r="J306" i="1" s="1"/>
  <c r="K306" i="1" s="1"/>
  <c r="H305" i="1"/>
  <c r="J305" i="1" s="1"/>
  <c r="K305" i="1" s="1"/>
  <c r="H304" i="1"/>
  <c r="J304" i="1" s="1"/>
  <c r="K304" i="1" s="1"/>
  <c r="H303" i="1"/>
  <c r="J303" i="1" s="1"/>
  <c r="K303" i="1" s="1"/>
  <c r="H302" i="1"/>
  <c r="J302" i="1" s="1"/>
  <c r="K302" i="1" s="1"/>
  <c r="H301" i="1"/>
  <c r="J301" i="1" s="1"/>
  <c r="K301" i="1" s="1"/>
  <c r="H300" i="1"/>
  <c r="J300" i="1" s="1"/>
  <c r="K300" i="1" s="1"/>
  <c r="H299" i="1"/>
  <c r="J299" i="1" s="1"/>
  <c r="K299" i="1" s="1"/>
  <c r="H298" i="1"/>
  <c r="J298" i="1" s="1"/>
  <c r="K298" i="1" s="1"/>
  <c r="H297" i="1"/>
  <c r="J297" i="1" s="1"/>
  <c r="K297" i="1" s="1"/>
  <c r="H296" i="1"/>
  <c r="J296" i="1" s="1"/>
  <c r="K296" i="1" s="1"/>
  <c r="H295" i="1"/>
  <c r="J295" i="1" s="1"/>
  <c r="K295" i="1" s="1"/>
  <c r="H294" i="1"/>
  <c r="J294" i="1" s="1"/>
  <c r="K294" i="1" s="1"/>
  <c r="H293" i="1"/>
  <c r="J293" i="1" s="1"/>
  <c r="K293" i="1" s="1"/>
  <c r="H292" i="1"/>
  <c r="J292" i="1" s="1"/>
  <c r="K292" i="1" s="1"/>
  <c r="H291" i="1"/>
  <c r="J291" i="1" s="1"/>
  <c r="K291" i="1" s="1"/>
  <c r="H290" i="1"/>
  <c r="J290" i="1" s="1"/>
  <c r="K290" i="1" s="1"/>
  <c r="H289" i="1"/>
  <c r="J289" i="1" s="1"/>
  <c r="K289" i="1" s="1"/>
  <c r="H288" i="1"/>
  <c r="J288" i="1" s="1"/>
  <c r="K288" i="1" s="1"/>
  <c r="H287" i="1"/>
  <c r="J287" i="1" s="1"/>
  <c r="K287" i="1" s="1"/>
  <c r="H286" i="1"/>
  <c r="J286" i="1" s="1"/>
  <c r="K286" i="1" s="1"/>
  <c r="H285" i="1"/>
  <c r="J285" i="1" s="1"/>
  <c r="K285" i="1" s="1"/>
  <c r="H284" i="1"/>
  <c r="J284" i="1" s="1"/>
  <c r="K284" i="1" s="1"/>
  <c r="H283" i="1"/>
  <c r="J283" i="1" s="1"/>
  <c r="K283" i="1" s="1"/>
  <c r="H282" i="1"/>
  <c r="J282" i="1" s="1"/>
  <c r="K282" i="1" s="1"/>
  <c r="H281" i="1"/>
  <c r="J281" i="1" s="1"/>
  <c r="K281" i="1" s="1"/>
  <c r="H280" i="1"/>
  <c r="J280" i="1" s="1"/>
  <c r="K280" i="1" s="1"/>
  <c r="H279" i="1"/>
  <c r="J279" i="1" s="1"/>
  <c r="K279" i="1" s="1"/>
  <c r="H278" i="1"/>
  <c r="J278" i="1" s="1"/>
  <c r="K278" i="1" s="1"/>
  <c r="H277" i="1"/>
  <c r="J277" i="1" s="1"/>
  <c r="K277" i="1" s="1"/>
  <c r="H276" i="1"/>
  <c r="J276" i="1" s="1"/>
  <c r="K276" i="1" s="1"/>
  <c r="H275" i="1"/>
  <c r="J275" i="1" s="1"/>
  <c r="K275" i="1" s="1"/>
  <c r="H274" i="1"/>
  <c r="J274" i="1" s="1"/>
  <c r="K274" i="1" s="1"/>
  <c r="H273" i="1"/>
  <c r="J273" i="1" s="1"/>
  <c r="K273" i="1" s="1"/>
  <c r="H272" i="1"/>
  <c r="J272" i="1" s="1"/>
  <c r="K272" i="1" s="1"/>
  <c r="H271" i="1"/>
  <c r="J271" i="1" s="1"/>
  <c r="K271" i="1" s="1"/>
  <c r="H270" i="1"/>
  <c r="J270" i="1" s="1"/>
  <c r="K270" i="1" s="1"/>
  <c r="H269" i="1"/>
  <c r="J269" i="1" s="1"/>
  <c r="K269" i="1" s="1"/>
  <c r="H268" i="1"/>
  <c r="J268" i="1" s="1"/>
  <c r="K268" i="1" s="1"/>
  <c r="H267" i="1"/>
  <c r="J267" i="1" s="1"/>
  <c r="K267" i="1" s="1"/>
  <c r="H266" i="1"/>
  <c r="J266" i="1" s="1"/>
  <c r="K266" i="1" s="1"/>
  <c r="H265" i="1"/>
  <c r="J265" i="1" s="1"/>
  <c r="K265" i="1" s="1"/>
  <c r="H264" i="1"/>
  <c r="J264" i="1" s="1"/>
  <c r="K264" i="1" s="1"/>
  <c r="H263" i="1"/>
  <c r="J263" i="1" s="1"/>
  <c r="K263" i="1" s="1"/>
  <c r="H262" i="1"/>
  <c r="J262" i="1" s="1"/>
  <c r="K262" i="1" s="1"/>
  <c r="H261" i="1"/>
  <c r="J261" i="1" s="1"/>
  <c r="K261" i="1" s="1"/>
  <c r="H260" i="1"/>
  <c r="J260" i="1" s="1"/>
  <c r="K260" i="1" s="1"/>
  <c r="H259" i="1"/>
  <c r="J259" i="1" s="1"/>
  <c r="K259" i="1" s="1"/>
  <c r="H258" i="1"/>
  <c r="J258" i="1" s="1"/>
  <c r="K258" i="1" s="1"/>
  <c r="H257" i="1"/>
  <c r="J257" i="1" s="1"/>
  <c r="K257" i="1" s="1"/>
  <c r="H256" i="1"/>
  <c r="J256" i="1" s="1"/>
  <c r="K256" i="1" s="1"/>
  <c r="H255" i="1"/>
  <c r="J255" i="1" s="1"/>
  <c r="K255" i="1" s="1"/>
  <c r="H254" i="1"/>
  <c r="J254" i="1" s="1"/>
  <c r="K254" i="1" s="1"/>
  <c r="H253" i="1"/>
  <c r="J253" i="1" s="1"/>
  <c r="K253" i="1" s="1"/>
  <c r="H252" i="1"/>
  <c r="J252" i="1" s="1"/>
  <c r="K252" i="1" s="1"/>
  <c r="H251" i="1"/>
  <c r="J251" i="1" s="1"/>
  <c r="K251" i="1" s="1"/>
  <c r="H250" i="1"/>
  <c r="J250" i="1" s="1"/>
  <c r="K250" i="1" s="1"/>
  <c r="H249" i="1"/>
  <c r="J249" i="1" s="1"/>
  <c r="K249" i="1" s="1"/>
  <c r="H248" i="1"/>
  <c r="J248" i="1" s="1"/>
  <c r="K248" i="1" s="1"/>
  <c r="H247" i="1"/>
  <c r="J247" i="1" s="1"/>
  <c r="K247" i="1" s="1"/>
  <c r="H246" i="1"/>
  <c r="J246" i="1" s="1"/>
  <c r="K246" i="1" s="1"/>
  <c r="H245" i="1"/>
  <c r="J245" i="1" s="1"/>
  <c r="K245" i="1" s="1"/>
  <c r="H244" i="1"/>
  <c r="J244" i="1" s="1"/>
  <c r="K244" i="1" s="1"/>
  <c r="H243" i="1"/>
  <c r="J243" i="1" s="1"/>
  <c r="K243" i="1" s="1"/>
  <c r="H242" i="1"/>
  <c r="J242" i="1" s="1"/>
  <c r="K242" i="1" s="1"/>
  <c r="H241" i="1"/>
  <c r="J241" i="1" s="1"/>
  <c r="K241" i="1" s="1"/>
  <c r="H240" i="1"/>
  <c r="J240" i="1" s="1"/>
  <c r="K240" i="1" s="1"/>
  <c r="M240" i="1" s="1"/>
  <c r="H239" i="1"/>
  <c r="J239" i="1" s="1"/>
  <c r="K239" i="1" s="1"/>
  <c r="M239" i="1" s="1"/>
  <c r="H238" i="1"/>
  <c r="J238" i="1" s="1"/>
  <c r="K238" i="1" s="1"/>
  <c r="M238" i="1" s="1"/>
  <c r="H237" i="1"/>
  <c r="J237" i="1" s="1"/>
  <c r="K237" i="1" s="1"/>
  <c r="M237" i="1" s="1"/>
  <c r="H236" i="1"/>
  <c r="J236" i="1" s="1"/>
  <c r="K236" i="1" s="1"/>
  <c r="M236" i="1" s="1"/>
  <c r="H235" i="1"/>
  <c r="J235" i="1" s="1"/>
  <c r="K235" i="1" s="1"/>
  <c r="M235" i="1" s="1"/>
  <c r="H234" i="1"/>
  <c r="J234" i="1" s="1"/>
  <c r="K234" i="1" s="1"/>
  <c r="M234" i="1" s="1"/>
  <c r="H233" i="1"/>
  <c r="J233" i="1" s="1"/>
  <c r="K233" i="1" s="1"/>
  <c r="M233" i="1" s="1"/>
  <c r="H232" i="1"/>
  <c r="J232" i="1" s="1"/>
  <c r="K232" i="1" s="1"/>
  <c r="M232" i="1" s="1"/>
  <c r="H231" i="1"/>
  <c r="J231" i="1" s="1"/>
  <c r="K231" i="1" s="1"/>
  <c r="M231" i="1" s="1"/>
  <c r="H230" i="1"/>
  <c r="J230" i="1" s="1"/>
  <c r="K230" i="1" s="1"/>
  <c r="M230" i="1" s="1"/>
  <c r="H229" i="1"/>
  <c r="J229" i="1" s="1"/>
  <c r="K229" i="1" s="1"/>
  <c r="M229" i="1" s="1"/>
  <c r="H228" i="1"/>
  <c r="J228" i="1" s="1"/>
  <c r="K228" i="1" s="1"/>
  <c r="M228" i="1" s="1"/>
  <c r="H227" i="1"/>
  <c r="J227" i="1" s="1"/>
  <c r="K227" i="1" s="1"/>
  <c r="M227" i="1" s="1"/>
  <c r="H226" i="1"/>
  <c r="J226" i="1" s="1"/>
  <c r="K226" i="1" s="1"/>
  <c r="M226" i="1" s="1"/>
  <c r="H225" i="1"/>
  <c r="J225" i="1" s="1"/>
  <c r="K225" i="1" s="1"/>
  <c r="M225" i="1" s="1"/>
  <c r="H224" i="1"/>
  <c r="J224" i="1" s="1"/>
  <c r="K224" i="1" s="1"/>
  <c r="M224" i="1" s="1"/>
  <c r="H223" i="1"/>
  <c r="J223" i="1" s="1"/>
  <c r="K223" i="1" s="1"/>
  <c r="M223" i="1" s="1"/>
  <c r="H222" i="1"/>
  <c r="J222" i="1" s="1"/>
  <c r="K222" i="1" s="1"/>
  <c r="H221" i="1"/>
  <c r="J221" i="1" s="1"/>
  <c r="K221" i="1" s="1"/>
  <c r="M221" i="1" s="1"/>
  <c r="H220" i="1"/>
  <c r="J220" i="1" s="1"/>
  <c r="K220" i="1" s="1"/>
  <c r="M220" i="1" s="1"/>
  <c r="H219" i="1"/>
  <c r="J219" i="1" s="1"/>
  <c r="K219" i="1" s="1"/>
  <c r="M219" i="1" s="1"/>
  <c r="H218" i="1"/>
  <c r="J218" i="1" s="1"/>
  <c r="K218" i="1" s="1"/>
  <c r="M218" i="1" s="1"/>
  <c r="M204" i="1"/>
  <c r="M216" i="1"/>
  <c r="H217" i="1"/>
  <c r="J217" i="1" s="1"/>
  <c r="K217" i="1" s="1"/>
  <c r="M217" i="1" s="1"/>
  <c r="H216" i="1"/>
  <c r="J216" i="1" s="1"/>
  <c r="K216" i="1" s="1"/>
  <c r="H215" i="1"/>
  <c r="J215" i="1" s="1"/>
  <c r="K215" i="1" s="1"/>
  <c r="M215" i="1" s="1"/>
  <c r="H214" i="1"/>
  <c r="J214" i="1" s="1"/>
  <c r="K214" i="1" s="1"/>
  <c r="M214" i="1" s="1"/>
  <c r="H213" i="1"/>
  <c r="J213" i="1" s="1"/>
  <c r="K213" i="1" s="1"/>
  <c r="M213" i="1" s="1"/>
  <c r="H212" i="1"/>
  <c r="J212" i="1" s="1"/>
  <c r="K212" i="1" s="1"/>
  <c r="M212" i="1" s="1"/>
  <c r="H211" i="1"/>
  <c r="J211" i="1" s="1"/>
  <c r="K211" i="1" s="1"/>
  <c r="M211" i="1" s="1"/>
  <c r="H210" i="1"/>
  <c r="J210" i="1" s="1"/>
  <c r="K210" i="1" s="1"/>
  <c r="M210" i="1" s="1"/>
  <c r="H209" i="1"/>
  <c r="J209" i="1" s="1"/>
  <c r="K209" i="1" s="1"/>
  <c r="M209" i="1" s="1"/>
  <c r="H208" i="1"/>
  <c r="J208" i="1" s="1"/>
  <c r="K208" i="1" s="1"/>
  <c r="M208" i="1" s="1"/>
  <c r="H207" i="1"/>
  <c r="J207" i="1" s="1"/>
  <c r="K207" i="1" s="1"/>
  <c r="M207" i="1" s="1"/>
  <c r="H206" i="1"/>
  <c r="J206" i="1" s="1"/>
  <c r="K206" i="1" s="1"/>
  <c r="M206" i="1" s="1"/>
  <c r="H205" i="1"/>
  <c r="J205" i="1" s="1"/>
  <c r="K205" i="1" s="1"/>
  <c r="M205" i="1" s="1"/>
  <c r="H204" i="1"/>
  <c r="J204" i="1" s="1"/>
  <c r="K204" i="1" s="1"/>
  <c r="H203" i="1"/>
  <c r="J203" i="1" s="1"/>
  <c r="K203" i="1" s="1"/>
  <c r="M203" i="1" s="1"/>
  <c r="H202" i="1"/>
  <c r="J202" i="1" s="1"/>
  <c r="K202" i="1" s="1"/>
  <c r="M202" i="1" s="1"/>
  <c r="H201" i="1"/>
  <c r="J201" i="1" s="1"/>
  <c r="K201" i="1" s="1"/>
  <c r="M201" i="1" s="1"/>
  <c r="H200" i="1"/>
  <c r="J200" i="1" s="1"/>
  <c r="K200" i="1" s="1"/>
  <c r="M200" i="1" s="1"/>
  <c r="H199" i="1"/>
  <c r="J199" i="1" s="1"/>
  <c r="K199" i="1" s="1"/>
  <c r="M199" i="1" s="1"/>
  <c r="H198" i="1"/>
  <c r="J198" i="1" s="1"/>
  <c r="K198" i="1" s="1"/>
  <c r="M198" i="1" s="1"/>
  <c r="H197" i="1"/>
  <c r="J197" i="1" s="1"/>
  <c r="K197" i="1" s="1"/>
  <c r="M197" i="1" s="1"/>
  <c r="H196" i="1"/>
  <c r="J196" i="1" s="1"/>
  <c r="K196" i="1" s="1"/>
  <c r="M196" i="1" s="1"/>
  <c r="H195" i="1"/>
  <c r="J195" i="1" s="1"/>
  <c r="K195" i="1" s="1"/>
  <c r="H194" i="1"/>
  <c r="J194" i="1" s="1"/>
  <c r="K194" i="1" s="1"/>
  <c r="H193" i="1"/>
  <c r="J193" i="1" s="1"/>
  <c r="K193" i="1" s="1"/>
  <c r="H192" i="1"/>
  <c r="J192" i="1" s="1"/>
  <c r="K192" i="1" s="1"/>
  <c r="H191" i="1"/>
  <c r="J191" i="1" s="1"/>
  <c r="K191" i="1" s="1"/>
  <c r="H190" i="1"/>
  <c r="J190" i="1" s="1"/>
  <c r="K190" i="1" s="1"/>
  <c r="H189" i="1"/>
  <c r="J189" i="1" s="1"/>
  <c r="K189" i="1" s="1"/>
  <c r="H188" i="1"/>
  <c r="J188" i="1" s="1"/>
  <c r="K188" i="1" s="1"/>
  <c r="H187" i="1"/>
  <c r="J187" i="1" s="1"/>
  <c r="K187" i="1" s="1"/>
  <c r="H186" i="1"/>
  <c r="J186" i="1" s="1"/>
  <c r="K186" i="1" s="1"/>
  <c r="H185" i="1"/>
  <c r="J185" i="1" s="1"/>
  <c r="K185" i="1" s="1"/>
  <c r="H184" i="1"/>
  <c r="J184" i="1" s="1"/>
  <c r="K184" i="1" s="1"/>
  <c r="H183" i="1"/>
  <c r="J183" i="1" s="1"/>
  <c r="K183" i="1" s="1"/>
  <c r="H182" i="1"/>
  <c r="J182" i="1" s="1"/>
  <c r="K182" i="1" s="1"/>
  <c r="H181" i="1"/>
  <c r="J181" i="1" s="1"/>
  <c r="K181" i="1" s="1"/>
  <c r="H180" i="1"/>
  <c r="J180" i="1" s="1"/>
  <c r="K180" i="1" s="1"/>
  <c r="H179" i="1"/>
  <c r="J179" i="1" s="1"/>
  <c r="K179" i="1" s="1"/>
  <c r="H178" i="1"/>
  <c r="J178" i="1" s="1"/>
  <c r="K178" i="1" s="1"/>
  <c r="H177" i="1"/>
  <c r="J177" i="1" s="1"/>
  <c r="K177" i="1" s="1"/>
  <c r="H176" i="1"/>
  <c r="J176" i="1" s="1"/>
  <c r="K176" i="1" s="1"/>
  <c r="H175" i="1"/>
  <c r="J175" i="1" s="1"/>
  <c r="K175" i="1" s="1"/>
  <c r="H174" i="1"/>
  <c r="J174" i="1" s="1"/>
  <c r="K174" i="1" s="1"/>
  <c r="H173" i="1"/>
  <c r="J173" i="1" s="1"/>
  <c r="K173" i="1" s="1"/>
  <c r="H172" i="1"/>
  <c r="J172" i="1" s="1"/>
  <c r="K172" i="1" s="1"/>
  <c r="H171" i="1"/>
  <c r="J171" i="1" s="1"/>
  <c r="K171" i="1" s="1"/>
  <c r="H170" i="1"/>
  <c r="J170" i="1" s="1"/>
  <c r="K170" i="1" s="1"/>
  <c r="H169" i="1"/>
  <c r="J169" i="1" s="1"/>
  <c r="K169" i="1" s="1"/>
  <c r="H168" i="1"/>
  <c r="J168" i="1" s="1"/>
  <c r="K168" i="1" s="1"/>
  <c r="H167" i="1"/>
  <c r="J167" i="1" s="1"/>
  <c r="K167" i="1" s="1"/>
  <c r="H166" i="1"/>
  <c r="J166" i="1" s="1"/>
  <c r="K166" i="1" s="1"/>
  <c r="H165" i="1"/>
  <c r="J165" i="1" s="1"/>
  <c r="K165" i="1" s="1"/>
  <c r="H164" i="1"/>
  <c r="J164" i="1" s="1"/>
  <c r="K164" i="1" s="1"/>
  <c r="H163" i="1"/>
  <c r="J163" i="1" s="1"/>
  <c r="K163" i="1" s="1"/>
  <c r="H162" i="1"/>
  <c r="J162" i="1" s="1"/>
  <c r="K162" i="1" s="1"/>
  <c r="H161" i="1"/>
  <c r="J161" i="1" s="1"/>
  <c r="K161" i="1" s="1"/>
  <c r="H160" i="1"/>
  <c r="J160" i="1" s="1"/>
  <c r="K160" i="1" s="1"/>
  <c r="H159" i="1"/>
  <c r="J159" i="1" s="1"/>
  <c r="K159" i="1" s="1"/>
  <c r="H158" i="1"/>
  <c r="J158" i="1" s="1"/>
  <c r="K158" i="1" s="1"/>
  <c r="H157" i="1"/>
  <c r="J157" i="1" s="1"/>
  <c r="K157" i="1" s="1"/>
  <c r="H156" i="1"/>
  <c r="J156" i="1" s="1"/>
  <c r="K156" i="1" s="1"/>
  <c r="H155" i="1"/>
  <c r="J155" i="1" s="1"/>
  <c r="K155" i="1" s="1"/>
  <c r="H154" i="1"/>
  <c r="J154" i="1" s="1"/>
  <c r="K154" i="1" s="1"/>
  <c r="H153" i="1"/>
  <c r="J153" i="1" s="1"/>
  <c r="K153" i="1" s="1"/>
  <c r="H152" i="1"/>
  <c r="J152" i="1" s="1"/>
  <c r="K152" i="1" s="1"/>
  <c r="H151" i="1"/>
  <c r="J151" i="1" s="1"/>
  <c r="K151" i="1" s="1"/>
  <c r="H150" i="1"/>
  <c r="J150" i="1" s="1"/>
  <c r="K150" i="1" s="1"/>
  <c r="H149" i="1"/>
  <c r="J149" i="1" s="1"/>
  <c r="K149" i="1" s="1"/>
  <c r="H148" i="1"/>
  <c r="J148" i="1" s="1"/>
  <c r="K148" i="1" s="1"/>
  <c r="H147" i="1"/>
  <c r="J147" i="1" s="1"/>
  <c r="K147" i="1" s="1"/>
  <c r="H146" i="1"/>
  <c r="J146" i="1" s="1"/>
  <c r="K146" i="1" s="1"/>
  <c r="H145" i="1"/>
  <c r="J145" i="1" s="1"/>
  <c r="K145" i="1" s="1"/>
  <c r="H144" i="1"/>
  <c r="J144" i="1" s="1"/>
  <c r="K144" i="1" s="1"/>
  <c r="H143" i="1"/>
  <c r="J143" i="1" s="1"/>
  <c r="K143" i="1" s="1"/>
  <c r="H142" i="1"/>
  <c r="J142" i="1" s="1"/>
  <c r="K142" i="1" s="1"/>
  <c r="H141" i="1"/>
  <c r="J141" i="1" s="1"/>
  <c r="K141" i="1" s="1"/>
  <c r="H140" i="1"/>
  <c r="J140" i="1" s="1"/>
  <c r="K140" i="1" s="1"/>
  <c r="H139" i="1"/>
  <c r="J139" i="1" s="1"/>
  <c r="K139" i="1" s="1"/>
  <c r="H138" i="1"/>
  <c r="J138" i="1" s="1"/>
  <c r="K138" i="1" s="1"/>
  <c r="H137" i="1"/>
  <c r="J137" i="1" s="1"/>
  <c r="K137" i="1" s="1"/>
  <c r="H136" i="1"/>
  <c r="J136" i="1" s="1"/>
  <c r="K136" i="1" s="1"/>
  <c r="H135" i="1"/>
  <c r="J135" i="1" s="1"/>
  <c r="K135" i="1" s="1"/>
  <c r="H134" i="1"/>
  <c r="J134" i="1" s="1"/>
  <c r="K134" i="1" s="1"/>
  <c r="H133" i="1"/>
  <c r="J133" i="1" s="1"/>
  <c r="K133" i="1" s="1"/>
  <c r="H132" i="1"/>
  <c r="J132" i="1" s="1"/>
  <c r="K132" i="1" s="1"/>
  <c r="H131" i="1"/>
  <c r="J131" i="1" s="1"/>
  <c r="K131" i="1" s="1"/>
  <c r="H130" i="1"/>
  <c r="J130" i="1" s="1"/>
  <c r="K130" i="1" s="1"/>
  <c r="H129" i="1"/>
  <c r="J129" i="1" s="1"/>
  <c r="K129" i="1" s="1"/>
  <c r="H128" i="1"/>
  <c r="J128" i="1" s="1"/>
  <c r="K128" i="1" s="1"/>
  <c r="H127" i="1"/>
  <c r="J127" i="1" s="1"/>
  <c r="K127" i="1" s="1"/>
  <c r="H126" i="1"/>
  <c r="J126" i="1" s="1"/>
  <c r="K126" i="1" s="1"/>
  <c r="H125" i="1"/>
  <c r="J125" i="1" s="1"/>
  <c r="K125" i="1" s="1"/>
  <c r="H124" i="1"/>
  <c r="J124" i="1" s="1"/>
  <c r="K124" i="1" s="1"/>
  <c r="H123" i="1"/>
  <c r="J123" i="1" s="1"/>
  <c r="K123" i="1" s="1"/>
  <c r="H121" i="1"/>
  <c r="J121" i="1" s="1"/>
  <c r="K121" i="1" s="1"/>
  <c r="H122" i="1"/>
  <c r="J122" i="1" s="1"/>
  <c r="K122" i="1" s="1"/>
  <c r="H120" i="1"/>
  <c r="J120" i="1" s="1"/>
  <c r="K120" i="1" s="1"/>
  <c r="M105" i="1"/>
  <c r="M104" i="1"/>
  <c r="M91" i="1"/>
  <c r="M90" i="1"/>
  <c r="M89" i="1"/>
  <c r="M88" i="1"/>
  <c r="H119" i="1"/>
  <c r="J119" i="1" s="1"/>
  <c r="K119" i="1" s="1"/>
  <c r="M119" i="1" s="1"/>
  <c r="H118" i="1"/>
  <c r="J118" i="1" s="1"/>
  <c r="K118" i="1" s="1"/>
  <c r="M118" i="1" s="1"/>
  <c r="H117" i="1"/>
  <c r="J117" i="1" s="1"/>
  <c r="K117" i="1" s="1"/>
  <c r="M117" i="1" s="1"/>
  <c r="H116" i="1"/>
  <c r="J116" i="1" s="1"/>
  <c r="K116" i="1" s="1"/>
  <c r="M116" i="1" s="1"/>
  <c r="H115" i="1"/>
  <c r="J115" i="1" s="1"/>
  <c r="K115" i="1" s="1"/>
  <c r="M115" i="1" s="1"/>
  <c r="H114" i="1"/>
  <c r="J114" i="1" s="1"/>
  <c r="K114" i="1" s="1"/>
  <c r="M114" i="1" s="1"/>
  <c r="H113" i="1"/>
  <c r="J113" i="1" s="1"/>
  <c r="K113" i="1" s="1"/>
  <c r="M113" i="1" s="1"/>
  <c r="H112" i="1"/>
  <c r="J112" i="1" s="1"/>
  <c r="K112" i="1" s="1"/>
  <c r="M112" i="1" s="1"/>
  <c r="H111" i="1"/>
  <c r="J111" i="1" s="1"/>
  <c r="K111" i="1" s="1"/>
  <c r="M111" i="1" s="1"/>
  <c r="H110" i="1"/>
  <c r="J110" i="1" s="1"/>
  <c r="K110" i="1" s="1"/>
  <c r="M110" i="1" s="1"/>
  <c r="H109" i="1"/>
  <c r="J109" i="1" s="1"/>
  <c r="K109" i="1" s="1"/>
  <c r="M109" i="1" s="1"/>
  <c r="H108" i="1"/>
  <c r="J108" i="1" s="1"/>
  <c r="K108" i="1" s="1"/>
  <c r="M108" i="1" s="1"/>
  <c r="H107" i="1"/>
  <c r="J107" i="1" s="1"/>
  <c r="K107" i="1" s="1"/>
  <c r="M107" i="1" s="1"/>
  <c r="H106" i="1"/>
  <c r="J106" i="1" s="1"/>
  <c r="K106" i="1" s="1"/>
  <c r="M106" i="1" s="1"/>
  <c r="H105" i="1"/>
  <c r="J105" i="1" s="1"/>
  <c r="K105" i="1" s="1"/>
  <c r="H104" i="1"/>
  <c r="J104" i="1" s="1"/>
  <c r="K104" i="1" s="1"/>
  <c r="H103" i="1"/>
  <c r="J103" i="1" s="1"/>
  <c r="K103" i="1" s="1"/>
  <c r="M103" i="1" s="1"/>
  <c r="H102" i="1"/>
  <c r="J102" i="1" s="1"/>
  <c r="K102" i="1" s="1"/>
  <c r="M102" i="1" s="1"/>
  <c r="H101" i="1"/>
  <c r="J101" i="1" s="1"/>
  <c r="K101" i="1" s="1"/>
  <c r="M101" i="1" s="1"/>
  <c r="H100" i="1"/>
  <c r="J100" i="1" s="1"/>
  <c r="K100" i="1" s="1"/>
  <c r="M100" i="1" s="1"/>
  <c r="H99" i="1"/>
  <c r="J99" i="1" s="1"/>
  <c r="K99" i="1" s="1"/>
  <c r="M99" i="1" s="1"/>
  <c r="H98" i="1"/>
  <c r="J98" i="1" s="1"/>
  <c r="K98" i="1" s="1"/>
  <c r="M98" i="1" s="1"/>
  <c r="H97" i="1"/>
  <c r="J97" i="1" s="1"/>
  <c r="K97" i="1" s="1"/>
  <c r="M97" i="1" s="1"/>
  <c r="H96" i="1"/>
  <c r="J96" i="1" s="1"/>
  <c r="K96" i="1" s="1"/>
  <c r="M96" i="1" s="1"/>
  <c r="H95" i="1"/>
  <c r="J95" i="1" s="1"/>
  <c r="K95" i="1" s="1"/>
  <c r="M95" i="1" s="1"/>
  <c r="H94" i="1"/>
  <c r="J94" i="1" s="1"/>
  <c r="K94" i="1" s="1"/>
  <c r="M94" i="1" s="1"/>
  <c r="H93" i="1"/>
  <c r="J93" i="1" s="1"/>
  <c r="K93" i="1" s="1"/>
  <c r="M93" i="1" s="1"/>
  <c r="H92" i="1"/>
  <c r="J92" i="1" s="1"/>
  <c r="K92" i="1" s="1"/>
  <c r="M92" i="1" s="1"/>
  <c r="H91" i="1"/>
  <c r="J91" i="1" s="1"/>
  <c r="K91" i="1" s="1"/>
  <c r="H90" i="1"/>
  <c r="J90" i="1" s="1"/>
  <c r="K90" i="1" s="1"/>
  <c r="H89" i="1"/>
  <c r="J89" i="1" s="1"/>
  <c r="K89" i="1" s="1"/>
  <c r="H88" i="1"/>
  <c r="J88" i="1" s="1"/>
  <c r="K88" i="1" s="1"/>
  <c r="H87" i="1"/>
  <c r="J87" i="1" s="1"/>
  <c r="K87" i="1" s="1"/>
  <c r="M87" i="1" s="1"/>
  <c r="H86" i="1"/>
  <c r="J86" i="1" s="1"/>
  <c r="K86" i="1" s="1"/>
  <c r="M86" i="1" s="1"/>
  <c r="H85" i="1"/>
  <c r="J85" i="1" s="1"/>
  <c r="K85" i="1" s="1"/>
  <c r="M85" i="1" s="1"/>
  <c r="H84" i="1"/>
  <c r="J84" i="1" s="1"/>
  <c r="K84" i="1" s="1"/>
  <c r="M84" i="1" s="1"/>
  <c r="F81" i="1"/>
  <c r="H81" i="1" s="1"/>
  <c r="J81" i="1" s="1"/>
  <c r="K81" i="1" s="1"/>
  <c r="M81" i="1" s="1"/>
  <c r="F80" i="1"/>
  <c r="H80" i="1" s="1"/>
  <c r="J80" i="1" s="1"/>
  <c r="K80" i="1" s="1"/>
  <c r="M80" i="1" s="1"/>
  <c r="H83" i="1"/>
  <c r="J83" i="1" s="1"/>
  <c r="K83" i="1" s="1"/>
  <c r="M83" i="1" s="1"/>
  <c r="H82" i="1"/>
  <c r="J82" i="1" s="1"/>
  <c r="K82" i="1" s="1"/>
  <c r="M82" i="1" s="1"/>
  <c r="H79" i="1"/>
  <c r="J79" i="1" s="1"/>
  <c r="K79" i="1" s="1"/>
  <c r="M79" i="1" s="1"/>
  <c r="H78" i="1"/>
  <c r="J78" i="1" s="1"/>
  <c r="K78" i="1" s="1"/>
  <c r="M78" i="1" s="1"/>
  <c r="H77" i="1"/>
  <c r="J77" i="1" s="1"/>
  <c r="K77" i="1" s="1"/>
  <c r="M77" i="1" s="1"/>
  <c r="H76" i="1"/>
  <c r="J76" i="1" s="1"/>
  <c r="K76" i="1" s="1"/>
  <c r="M76" i="1" s="1"/>
  <c r="H75" i="1"/>
  <c r="J75" i="1" s="1"/>
  <c r="K75" i="1" s="1"/>
  <c r="M75" i="1" s="1"/>
  <c r="H74" i="1"/>
  <c r="J74" i="1" s="1"/>
  <c r="K74" i="1" s="1"/>
  <c r="M74" i="1" s="1"/>
  <c r="H73" i="1"/>
  <c r="J73" i="1" s="1"/>
  <c r="K73" i="1" s="1"/>
  <c r="M73" i="1" s="1"/>
  <c r="H72" i="1"/>
  <c r="J72" i="1" s="1"/>
  <c r="K72" i="1" s="1"/>
  <c r="H71" i="1"/>
  <c r="J71" i="1" s="1"/>
  <c r="K71" i="1" s="1"/>
  <c r="M71" i="1" s="1"/>
  <c r="H70" i="1"/>
  <c r="J70" i="1" s="1"/>
  <c r="K70" i="1" s="1"/>
  <c r="M70" i="1" s="1"/>
  <c r="H69" i="1"/>
  <c r="J69" i="1" s="1"/>
  <c r="K69" i="1" s="1"/>
  <c r="M69" i="1" s="1"/>
  <c r="H68" i="1"/>
  <c r="J68" i="1" s="1"/>
  <c r="K68" i="1" s="1"/>
  <c r="M68" i="1" s="1"/>
  <c r="H67" i="1"/>
  <c r="J67" i="1" s="1"/>
  <c r="K67" i="1" s="1"/>
  <c r="M67" i="1" s="1"/>
  <c r="H66" i="1"/>
  <c r="J66" i="1" s="1"/>
  <c r="K66" i="1" s="1"/>
  <c r="M66" i="1" s="1"/>
  <c r="H65" i="1"/>
  <c r="J65" i="1" s="1"/>
  <c r="K65" i="1" s="1"/>
  <c r="M65" i="1" s="1"/>
  <c r="H64" i="1"/>
  <c r="J64" i="1" s="1"/>
  <c r="K64" i="1" s="1"/>
  <c r="M64" i="1" s="1"/>
  <c r="H63" i="1"/>
  <c r="J63" i="1" s="1"/>
  <c r="K63" i="1" s="1"/>
  <c r="M63" i="1" s="1"/>
  <c r="H62" i="1"/>
  <c r="J62" i="1" s="1"/>
  <c r="K62" i="1" s="1"/>
  <c r="M62" i="1" s="1"/>
  <c r="H61" i="1"/>
  <c r="J61" i="1" s="1"/>
  <c r="K61" i="1" s="1"/>
  <c r="M61" i="1" s="1"/>
  <c r="H60" i="1"/>
  <c r="J60" i="1" s="1"/>
  <c r="K60" i="1" s="1"/>
  <c r="M60" i="1" s="1"/>
  <c r="H59" i="1"/>
  <c r="J59" i="1" s="1"/>
  <c r="K59" i="1" s="1"/>
  <c r="M59" i="1" s="1"/>
  <c r="H58" i="1"/>
  <c r="J58" i="1" s="1"/>
  <c r="K58" i="1" s="1"/>
  <c r="M58" i="1" s="1"/>
  <c r="H57" i="1"/>
  <c r="J57" i="1" s="1"/>
  <c r="K57" i="1" s="1"/>
  <c r="M57" i="1" s="1"/>
  <c r="H56" i="1"/>
  <c r="J56" i="1" s="1"/>
  <c r="K56" i="1" s="1"/>
  <c r="M56" i="1" s="1"/>
  <c r="H55" i="1"/>
  <c r="J55" i="1" s="1"/>
  <c r="K55" i="1" s="1"/>
  <c r="H54" i="1"/>
  <c r="J54" i="1" s="1"/>
  <c r="K54" i="1" s="1"/>
  <c r="M54" i="1" s="1"/>
  <c r="H53" i="1"/>
  <c r="J53" i="1" s="1"/>
  <c r="K53" i="1" s="1"/>
  <c r="M53" i="1" s="1"/>
  <c r="H52" i="1"/>
  <c r="J52" i="1" s="1"/>
  <c r="K52" i="1" s="1"/>
  <c r="M52" i="1" s="1"/>
  <c r="H51" i="1"/>
  <c r="J51" i="1" s="1"/>
  <c r="K51" i="1" s="1"/>
  <c r="M51" i="1" s="1"/>
  <c r="H50" i="1"/>
  <c r="J50" i="1" s="1"/>
  <c r="K50" i="1" s="1"/>
  <c r="M50" i="1" s="1"/>
  <c r="H49" i="1"/>
  <c r="J49" i="1" s="1"/>
  <c r="K49" i="1" s="1"/>
  <c r="M49" i="1" s="1"/>
  <c r="H48" i="1"/>
  <c r="J48" i="1" s="1"/>
  <c r="K48" i="1" s="1"/>
  <c r="M48" i="1" s="1"/>
  <c r="H47" i="1"/>
  <c r="J47" i="1" s="1"/>
  <c r="K47" i="1" s="1"/>
  <c r="M47" i="1" s="1"/>
  <c r="H46" i="1"/>
  <c r="J46" i="1" s="1"/>
  <c r="H45" i="1"/>
  <c r="J45" i="1" s="1"/>
  <c r="K45" i="1" s="1"/>
  <c r="M45" i="1" s="1"/>
  <c r="H44" i="1"/>
  <c r="J44" i="1" s="1"/>
  <c r="K44" i="1" s="1"/>
  <c r="M44" i="1" s="1"/>
  <c r="H43" i="1"/>
  <c r="J43" i="1" s="1"/>
  <c r="K43" i="1" s="1"/>
  <c r="M43" i="1" s="1"/>
  <c r="H42" i="1"/>
  <c r="J42" i="1" s="1"/>
  <c r="K42" i="1" s="1"/>
  <c r="M42" i="1" s="1"/>
  <c r="H41" i="1"/>
  <c r="J41" i="1" s="1"/>
  <c r="K41" i="1" s="1"/>
  <c r="M41" i="1" s="1"/>
  <c r="H40" i="1"/>
  <c r="J40" i="1" s="1"/>
  <c r="K40" i="1" s="1"/>
  <c r="M40" i="1" s="1"/>
  <c r="H39" i="1"/>
  <c r="J39" i="1" s="1"/>
  <c r="K39" i="1" s="1"/>
  <c r="M39" i="1" s="1"/>
  <c r="H38" i="1"/>
  <c r="J38" i="1" s="1"/>
  <c r="K38" i="1" s="1"/>
  <c r="M38" i="1" s="1"/>
  <c r="H37" i="1"/>
  <c r="J37" i="1" s="1"/>
  <c r="K37" i="1" s="1"/>
  <c r="M37" i="1" s="1"/>
  <c r="H36" i="1"/>
  <c r="J36" i="1" s="1"/>
  <c r="K36" i="1" s="1"/>
  <c r="M36" i="1" s="1"/>
  <c r="H35" i="1"/>
  <c r="J35" i="1" s="1"/>
  <c r="K35" i="1" s="1"/>
  <c r="M35" i="1" s="1"/>
  <c r="H34" i="1"/>
  <c r="J34" i="1" s="1"/>
  <c r="K34" i="1" s="1"/>
  <c r="M34" i="1" s="1"/>
  <c r="H33" i="1"/>
  <c r="J33" i="1" s="1"/>
  <c r="K33" i="1" s="1"/>
  <c r="M33" i="1" s="1"/>
  <c r="H32" i="1"/>
  <c r="J32" i="1" s="1"/>
  <c r="K32" i="1" s="1"/>
  <c r="M32" i="1" s="1"/>
  <c r="H31" i="1"/>
  <c r="J31" i="1" s="1"/>
  <c r="K31" i="1" s="1"/>
  <c r="M31" i="1" s="1"/>
  <c r="H30" i="1"/>
  <c r="J30" i="1" s="1"/>
  <c r="K30" i="1" s="1"/>
  <c r="M30" i="1" s="1"/>
  <c r="H29" i="1"/>
  <c r="J29" i="1" s="1"/>
  <c r="K29" i="1" s="1"/>
  <c r="M29" i="1" s="1"/>
  <c r="H28" i="1"/>
  <c r="J28" i="1" s="1"/>
  <c r="K28" i="1" s="1"/>
  <c r="M28" i="1" s="1"/>
  <c r="H27" i="1"/>
  <c r="J27" i="1" s="1"/>
  <c r="K27" i="1" s="1"/>
  <c r="M27" i="1" s="1"/>
  <c r="H26" i="1"/>
  <c r="J26" i="1" s="1"/>
  <c r="K26" i="1" s="1"/>
  <c r="M26" i="1" s="1"/>
  <c r="H25" i="1"/>
  <c r="J25" i="1" s="1"/>
  <c r="K25" i="1" s="1"/>
  <c r="M25" i="1" s="1"/>
  <c r="H24" i="1"/>
  <c r="J24" i="1" s="1"/>
  <c r="K24" i="1" s="1"/>
  <c r="M24" i="1" s="1"/>
  <c r="H23" i="1"/>
  <c r="J23" i="1" s="1"/>
  <c r="K23" i="1" s="1"/>
  <c r="M23" i="1" s="1"/>
  <c r="H22" i="1"/>
  <c r="J22" i="1" s="1"/>
  <c r="K22" i="1" s="1"/>
  <c r="M22" i="1" s="1"/>
  <c r="H21" i="1"/>
  <c r="J21" i="1" s="1"/>
  <c r="K21" i="1" s="1"/>
  <c r="M21" i="1" s="1"/>
  <c r="H20" i="1"/>
  <c r="J20" i="1" s="1"/>
  <c r="K20" i="1" s="1"/>
  <c r="M20" i="1" s="1"/>
  <c r="H19" i="1"/>
  <c r="J19" i="1" s="1"/>
  <c r="K19" i="1" s="1"/>
  <c r="M19" i="1" s="1"/>
  <c r="H18" i="1"/>
  <c r="J18" i="1" s="1"/>
  <c r="K18" i="1" s="1"/>
  <c r="M18" i="1" s="1"/>
  <c r="H17" i="1"/>
  <c r="J17" i="1" s="1"/>
  <c r="K17" i="1" s="1"/>
  <c r="M17" i="1" s="1"/>
  <c r="H16" i="1"/>
  <c r="J16" i="1" s="1"/>
  <c r="K16" i="1" s="1"/>
  <c r="M16" i="1" s="1"/>
  <c r="H15" i="1"/>
  <c r="J15" i="1" s="1"/>
  <c r="K15" i="1" s="1"/>
  <c r="M15" i="1" s="1"/>
  <c r="H14" i="1"/>
  <c r="J14" i="1" s="1"/>
  <c r="K14" i="1" s="1"/>
  <c r="M14" i="1" s="1"/>
  <c r="H13" i="1"/>
  <c r="J13" i="1" s="1"/>
  <c r="K13" i="1" s="1"/>
  <c r="M13" i="1" s="1"/>
  <c r="H12" i="1"/>
  <c r="J12" i="1" s="1"/>
  <c r="K12" i="1" s="1"/>
  <c r="M12" i="1" s="1"/>
  <c r="H11" i="1"/>
  <c r="J11" i="1" s="1"/>
  <c r="K11" i="1" s="1"/>
  <c r="M11" i="1" s="1"/>
  <c r="H10" i="1"/>
  <c r="J10" i="1" s="1"/>
  <c r="K10" i="1" s="1"/>
  <c r="M10" i="1" s="1"/>
  <c r="H9" i="1"/>
  <c r="J9" i="1" s="1"/>
  <c r="K9" i="1" s="1"/>
  <c r="M9" i="1" s="1"/>
  <c r="H8" i="1"/>
  <c r="J8" i="1" s="1"/>
  <c r="K8" i="1" s="1"/>
  <c r="M8" i="1" s="1"/>
  <c r="H7" i="1"/>
  <c r="J7" i="1" s="1"/>
  <c r="K7" i="1" s="1"/>
  <c r="M7" i="1" s="1"/>
  <c r="H6" i="1"/>
  <c r="J6" i="1" s="1"/>
  <c r="K6" i="1" s="1"/>
  <c r="M6" i="1" s="1"/>
  <c r="H5" i="1"/>
  <c r="J5" i="1" s="1"/>
  <c r="K5" i="1" s="1"/>
  <c r="M5" i="1" s="1"/>
  <c r="H4" i="1"/>
  <c r="J4" i="1" s="1"/>
  <c r="K4" i="1" s="1"/>
  <c r="M4" i="1" s="1"/>
  <c r="H3" i="1"/>
  <c r="J3" i="1" s="1"/>
  <c r="K3" i="1" s="1"/>
  <c r="M3" i="1" s="1"/>
  <c r="K46" i="1" l="1"/>
  <c r="M4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SGSI Dea Zahra Azizah</author>
  </authors>
  <commentList>
    <comment ref="G2" authorId="0" shapeId="0" xr:uid="{0E791EB0-298A-4C40-A8EE-E7457EF3733B}">
      <text>
        <r>
          <rPr>
            <sz val="9"/>
            <color indexed="81"/>
            <rFont val="Tahoma"/>
            <family val="2"/>
          </rPr>
          <t>Allowance can be fill in system</t>
        </r>
      </text>
    </comment>
    <comment ref="I2" authorId="0" shapeId="0" xr:uid="{11EF620C-47C3-44AD-9D01-CEF800CE27FD}">
      <text>
        <r>
          <rPr>
            <sz val="9"/>
            <color indexed="81"/>
            <rFont val="Tahoma"/>
            <family val="2"/>
          </rPr>
          <t xml:space="preserve">Target/hour could be adjusted in system based on request
</t>
        </r>
      </text>
    </comment>
  </commentList>
</comments>
</file>

<file path=xl/sharedStrings.xml><?xml version="1.0" encoding="utf-8"?>
<sst xmlns="http://schemas.openxmlformats.org/spreadsheetml/2006/main" count="1952" uniqueCount="396">
  <si>
    <t>Model</t>
  </si>
  <si>
    <t>Area</t>
  </si>
  <si>
    <t>Process</t>
  </si>
  <si>
    <t>Cycle Time</t>
  </si>
  <si>
    <t>Theoritical Manpower</t>
  </si>
  <si>
    <t>Balanced Manpower</t>
  </si>
  <si>
    <t>Machine Qty</t>
  </si>
  <si>
    <t>Machine Type</t>
  </si>
  <si>
    <t>Anthem 8</t>
  </si>
  <si>
    <t>Cutting</t>
  </si>
  <si>
    <t>Collar foam 反口泡棉</t>
  </si>
  <si>
    <t>Vamp 鞋面</t>
  </si>
  <si>
    <t>Cycle Time + Allowance 15%</t>
  </si>
  <si>
    <t>Allowance</t>
  </si>
  <si>
    <t>Target/hour</t>
  </si>
  <si>
    <t>Laser</t>
  </si>
  <si>
    <t>Cutting Beam
平板式油壓裁機 25T</t>
  </si>
  <si>
    <t>AUTO OKC MACHINE</t>
  </si>
  <si>
    <t>AUTO TRAVELING HEAD</t>
  </si>
  <si>
    <t>Cutting Swing Arm
搖臂式油壓裁斷機</t>
  </si>
  <si>
    <t>Heel</t>
  </si>
  <si>
    <t>Tongue 鞋舌</t>
  </si>
  <si>
    <t>Gusset lat</t>
  </si>
  <si>
    <t>Gusset med</t>
  </si>
  <si>
    <t>Heel counter  港寶</t>
  </si>
  <si>
    <t>Lat med Eyestay</t>
  </si>
  <si>
    <t>Tongue  foam</t>
  </si>
  <si>
    <t>Tongue lining 鞋舌內裡</t>
  </si>
  <si>
    <t>Collar lining 反口裡</t>
  </si>
  <si>
    <t>Quarter reinf lat med</t>
  </si>
  <si>
    <t>Toe box reinf 前襯補強</t>
  </si>
  <si>
    <t>Toe box reinf 1</t>
  </si>
  <si>
    <t>Toe box reinf 2</t>
  </si>
  <si>
    <t>Eyestay reinf lat/med 鞋眼補強</t>
  </si>
  <si>
    <t>Heel reinf 1</t>
  </si>
  <si>
    <t>Heel reinf 2</t>
  </si>
  <si>
    <t>Stroble 中底布</t>
  </si>
  <si>
    <t>Tongue lace keeper</t>
  </si>
  <si>
    <t>Tongue overlay</t>
  </si>
  <si>
    <t>EYESTAY OVERLAY</t>
  </si>
  <si>
    <t>Path logo lat med</t>
  </si>
  <si>
    <t xml:space="preserve"> PUNCHING FOR TONGUE LACE KEEPER</t>
  </si>
  <si>
    <t xml:space="preserve"> PUNCHING FOR EYESTAY OVERLAY</t>
  </si>
  <si>
    <t xml:space="preserve"> PUNCHING FOR PATH LOGO LAT MED</t>
  </si>
  <si>
    <t>W/B printing strobel 印刷中底布</t>
  </si>
  <si>
    <t xml:space="preserve"> Collar foam skiving 反口泡棉 削皮 </t>
  </si>
  <si>
    <t xml:space="preserve"> Heel counter skiving 港寶削皮 </t>
  </si>
  <si>
    <t>Heat pressing the tongue label
壓號碼標</t>
  </si>
  <si>
    <t>AUTO PUNCHING MACHINE</t>
  </si>
  <si>
    <t>Strobel auto printing machine</t>
  </si>
  <si>
    <t>Skiving Machine
削皮機</t>
  </si>
  <si>
    <t>C/O Pressing Machine
壓標機</t>
  </si>
  <si>
    <t>Cut the vamp inner area after Nosew (2nd cut) 鞋口二次斬</t>
  </si>
  <si>
    <t>HEEL cutting (after nosew)</t>
  </si>
  <si>
    <t>Punching tongue 鞋舌冲孔</t>
  </si>
  <si>
    <t>Prefit</t>
  </si>
  <si>
    <t>Eyelet Punching Machine
衝孔機</t>
  </si>
  <si>
    <t>Attach front side (no hotmelt)of toe reinf 1 with back side (hotmelt) of toe reinf 2,use heat gun to fix position
Tempelkan sisi depan (tanpa perekat leleh panas) dari toe reinf 1 dengan sisi belakang (dengan perekat leleh panas) dari toe reinf 2, gunakan pistol pemanas untuk memposisikannya.</t>
  </si>
  <si>
    <t>Attach non-hotmeltside of toe box with back side (hotmelt) of toe reinf 1,use heat gun to fix position.
Tempelkan sisi kotak jari kaki yang tidak menggunakan perekat leleh panas dengan sisi belakang (dengan perekat leleh panas) dari penguat jari kaki 1, gunakan pistol pemanas untuk memperbaiki posisinya.</t>
  </si>
  <si>
    <t>Tear off the release paper and hang eyestay overlay on template follow pin holes (back side faces up, pay attention that the side with logo printing is lateral side).
Lepaskan sticker dan tempelkan eyestay overlay pada pallet sesuai dengan lubang (sisi belakang menghadap ke atas, perhatikan bahwa sisi dengan logo yang diprinting adalah sisi kiri).</t>
  </si>
  <si>
    <t>Tear off the release paper and hang M/L path logo on template follow pin holes (back side faces up).
Lepaskan sticker dan tempelkan path logo L/M ke pallet sesuai dengan lubang (sisi belakang yang salah menghadap ke atas).</t>
  </si>
  <si>
    <t>Tear off the release paper and hang eyestay M/L on template follow pin holes (back side faces up).
Lepaskan sticker dan pasangkan eyestay M/L ke pallet sesuai lubang (sisi bagian belakang menghadap ke atas).</t>
  </si>
  <si>
    <t>Hang the vamp on the template, left side face up
将鞋面挂在模板上，左侧朝上
Tempelkan sepatu pada pallet, dengan sisi kiri menghadap ke atas.</t>
  </si>
  <si>
    <t>Hang the toe box reinf on the vamp follows the nail holes.
依掛釘孔將鞋頭補強掛於模具上
Pasangkan toe box reinf ke vamp sesuai dengan posisi lubang.</t>
  </si>
  <si>
    <t>Tear off the release paper of eyestay reinf, attach one by one on the vamp   
   撕紙眼片補強並貼於鞋面
Lepaskan sticker eyestay reinf, tempelkan masing-masing bagian diatas vamp.</t>
  </si>
  <si>
    <t>Tear off the release paper and hang M/L quarter reinf on template follow pin holes (main side faces up).
Lepaskan sticker dan pasangkan quarter reinf M/L pada pallet mengikuti lubang paku (bagian atas menghadap ke atas).</t>
  </si>
  <si>
    <t>Put a layer of teflon between the bottom M/L eyestay reinf and top M/L eyestay.
Letakan teflon diantara bagian bawah eyestay reinf M/L dan eyestay top M/L.</t>
  </si>
  <si>
    <t>Heat and cold Pressing vamp
鞋面/冷壓熱壓</t>
  </si>
  <si>
    <t>Hang tongue on template at correct position, put down top template.
Tempelkan tongue pada pallet dengan posisi yang benar, tutup dengan pallet bagian atas.</t>
  </si>
  <si>
    <t>Tear off release paper, brush cement C-031F and attach tongue lace keeper and tongue overlay on tongue follows template. Pay attention to distinguish left and right side of tongue lace keeper.
Lepaskan sticker, oleskan lem C-031F dan tempelkan tongue lace keeper dan tongue overlay ke tongue sesuai template. Perhatikan bagian kiri dan kanan tongue lace keeper.</t>
  </si>
  <si>
    <t>Take out tongue from template, put tongue on nosew machine between 1mm white silicone and teflon. &amp; Heat and cold Pressing tongue
Note: Press 6 - 10pcs per time.
Keluarkan tongue dari pallet, letakkan tongue pada mesin nosew diantara silikon putih 1mm dan teflon.
Catatan : Press 6 - 10 pcs</t>
  </si>
  <si>
    <t>Hang heel on template follows pin holes.
Pasangkan heel pada pallet mengikuti lubang paku.</t>
  </si>
  <si>
    <t>Tear off release paper and hang heel reinf 2 on heel follows pin holes (hotmelt side faces down).
Lepaskan sticker dan letakkan heel reinf pada heel mengikuti lubang paku (bagian yang telah di hotmelt menghadap ke bawah).</t>
  </si>
  <si>
    <t>Tear off release paper and hang heel reinf 1 on heel reinf 2 follows pin holes.
Lepaskan sticker dan tempelkan heel reinf 1 pada heel reinf 2 mengikuti lubang paku.</t>
  </si>
  <si>
    <t>Heat and cold Pressing HEEL</t>
  </si>
  <si>
    <t>Stitching</t>
  </si>
  <si>
    <t>Stitching tongue lining &amp; tongue
接鞋舌內裡與鞋舌</t>
  </si>
  <si>
    <t xml:space="preserve">Tongue foam cementing and attaching &amp; tongue turning </t>
  </si>
  <si>
    <t>Tongue edge stitching
車鞋舌邊線</t>
  </si>
  <si>
    <t>Collar lining edge stitching
車反口裡邊線</t>
  </si>
  <si>
    <t>Heat gun</t>
  </si>
  <si>
    <t>By hand
手工</t>
  </si>
  <si>
    <t>Nosew Machine
热压机</t>
  </si>
  <si>
    <t>Nosew Machine-Tongue
热压机</t>
  </si>
  <si>
    <t>1 Needle Post Stitching Machine
電腦直驅式單針羅拉車</t>
  </si>
  <si>
    <t>Adhesive HM Spraying Machine &amp; AWL
噴膠機</t>
  </si>
  <si>
    <t>Computer Stitching Machine 3020
電腦車</t>
  </si>
  <si>
    <t>Heel counter zigzag stitching</t>
  </si>
  <si>
    <t>Tip zigzag stitching
鞋头打万能</t>
  </si>
  <si>
    <t>M/L eyestay and M/L gusset zigzag stitching</t>
  </si>
  <si>
    <t>EYESTAY FIX STITCHING</t>
  </si>
  <si>
    <t>VAMP AND HEEL SEAM STITCHING</t>
  </si>
  <si>
    <t>SEAM STITCHING CEMENT SPRAYING</t>
  </si>
  <si>
    <t>HAMMERING</t>
  </si>
  <si>
    <t>HEEL SEAM STITCHING</t>
  </si>
  <si>
    <t>HEEL SEAM STITCHING CEMENTING AND HAMMERING</t>
  </si>
  <si>
    <t>HEEL FIX STITCHING</t>
  </si>
  <si>
    <t>GUSSET  FIX STITCHING</t>
  </si>
  <si>
    <t>Collar lining stitchingand trimming( with 3mm collar reinf tape)
車反口裡</t>
  </si>
  <si>
    <t>Stitching heel counter
车港宝</t>
  </si>
  <si>
    <t>Spraying cement quarter
鞋身內外腰喷胶</t>
  </si>
  <si>
    <t>Spraying cement, attach collar foam
喷胶，贴领口泡棉</t>
  </si>
  <si>
    <t>Repair cement collar lining
反口里两边补胶</t>
  </si>
  <si>
    <t xml:space="preserve">Fix stitching bottom edge </t>
  </si>
  <si>
    <t>Collar lining fix stitching
領口壓線</t>
  </si>
  <si>
    <t>Second time eyestay holes punching
鞋眼沖孔</t>
  </si>
  <si>
    <t>Tongue stitching
接鞋舌</t>
  </si>
  <si>
    <t>Heel counter activation
烤港寶</t>
  </si>
  <si>
    <t>Back part molding
后踵定型</t>
  </si>
  <si>
    <t>Bottom edge stitching
壓邊線</t>
  </si>
  <si>
    <t>Lacing
穿鞋带</t>
  </si>
  <si>
    <t>Zigzag Stitching Machine (2P)
三點萬能車</t>
  </si>
  <si>
    <t>Adhesive HM Spraying Machine
噴膠機</t>
  </si>
  <si>
    <t>Smoothing machine
槌平機</t>
  </si>
  <si>
    <t>Heel couter activation
港寶活化機</t>
  </si>
  <si>
    <t>2 Hot &amp; 2 Cold Molding Machine
空压气袋后踵定型2冷2热</t>
  </si>
  <si>
    <t>Spraying cement on collar lining back side, 
反口裡背面噴膠，翻反口裡</t>
  </si>
  <si>
    <t>folding collar lining</t>
  </si>
  <si>
    <t>Assembling</t>
  </si>
  <si>
    <t>Cut-Prep</t>
  </si>
  <si>
    <t>Nosew Vamp</t>
  </si>
  <si>
    <t>Nosew Tongue</t>
  </si>
  <si>
    <t>Nosew Heel</t>
  </si>
  <si>
    <t>Main Stitching</t>
  </si>
  <si>
    <t>Prep-Stitching</t>
  </si>
  <si>
    <t>Toe gathering
車縮頭</t>
  </si>
  <si>
    <t>Preparation &amp; Strobel stitching
車拉幫</t>
  </si>
  <si>
    <t>Toe box steaming
蒸濕</t>
  </si>
  <si>
    <t>Last inserting/Tip hammering
入楦/槌平</t>
  </si>
  <si>
    <t>Heel setting
打後幫</t>
  </si>
  <si>
    <t>Lace tightening and u-throat width checking
調整鞋帶</t>
  </si>
  <si>
    <t>Checking
QC 檢查</t>
  </si>
  <si>
    <t>Vulcanized machine
加硫箱</t>
  </si>
  <si>
    <t>Tip ironing
鞋頭按摩</t>
  </si>
  <si>
    <t>Heating Tunnel
过烘箱</t>
  </si>
  <si>
    <t>Tip gauge marking
鞋頭劃線</t>
  </si>
  <si>
    <t>Gauge marking
劃線</t>
  </si>
  <si>
    <t>PATH LOGO PRIMING (BELOW THE MARKING LINE) + OVEN</t>
  </si>
  <si>
    <t>Sole tip priming + oven
大底鞋頭上處理劑</t>
  </si>
  <si>
    <t>Sole reinf priming + oven
底上補強膠</t>
  </si>
  <si>
    <t>Upper and strobel reinf priming + oven
中底布上補強膠</t>
  </si>
  <si>
    <t>Sole cementing + oven
底刷膠</t>
  </si>
  <si>
    <t>Upper and strobel cementing + oven
中底布刷膠</t>
  </si>
  <si>
    <t>Sole and upper attaching
貼合</t>
  </si>
  <si>
    <t>Deep well pressing
萬能壓</t>
  </si>
  <si>
    <t>Chilling
過冷凍</t>
  </si>
  <si>
    <t>Loosening laces , delasting
脫楦，松鞋帶</t>
  </si>
  <si>
    <t>Date stamping
蓋日期章</t>
  </si>
  <si>
    <t>Sockliner cement rolling</t>
  </si>
  <si>
    <t>Insert sockliners
塞鞋墊</t>
  </si>
  <si>
    <t>SOCKLINER FIX PRESSING</t>
  </si>
  <si>
    <t>Arrange laces
整理鞋帶</t>
  </si>
  <si>
    <t>Shoes through metal detector machine
過驗針機</t>
  </si>
  <si>
    <t>Anti-molding
過防霉箱</t>
  </si>
  <si>
    <t>Folding inner box
摺內盒</t>
  </si>
  <si>
    <t xml:space="preserve"> Label attachment
貼標籤</t>
  </si>
  <si>
    <t>Inner box packing &amp; Count
包裝</t>
  </si>
  <si>
    <t>-</t>
  </si>
  <si>
    <t>Toe gather stitching machine
車縮頭</t>
  </si>
  <si>
    <t>Strobel Stitching Machine
車中底拉幫機</t>
  </si>
  <si>
    <t>Upper Heating Machine (strobel)
鞋頭蒸濕機(拉幫款式)</t>
  </si>
  <si>
    <t>Heel Lasting Machine (strobel)
后邦機</t>
  </si>
  <si>
    <t>Long Heating Machine
大線加硫定型機</t>
  </si>
  <si>
    <t>Ultrasound pressing machine
超聲波點燙機</t>
  </si>
  <si>
    <t>Heating Tunnel
大線站近紅外線生產線</t>
  </si>
  <si>
    <t>Gauge Marking Machine
劃綫機</t>
  </si>
  <si>
    <t>Deepwell Pressing Machine
萬能壓</t>
  </si>
  <si>
    <t>Chilling machine
冷凍機</t>
  </si>
  <si>
    <t>Cementing machine-Assy
固井機</t>
  </si>
  <si>
    <t>Sockliner pressing machine</t>
  </si>
  <si>
    <t>Metal Detector
驗針機</t>
  </si>
  <si>
    <t>Anti-moulding</t>
  </si>
  <si>
    <t>Stockfit</t>
  </si>
  <si>
    <t>Buffing</t>
  </si>
  <si>
    <t>Outsole buffing and dust blowing
橡胶大底打粗</t>
  </si>
  <si>
    <t>Midsole Buffing
中底打粗</t>
  </si>
  <si>
    <t>Auto Buffing Machine
自动打粗机</t>
  </si>
  <si>
    <t>OS Roughing Machine (2 heads)
橫式打粗機</t>
  </si>
  <si>
    <t>Buffing machine
变频活动打粗机</t>
  </si>
  <si>
    <t>Rubber outsole washing
橡胶大底水洗</t>
  </si>
  <si>
    <t>Outsole pass the heat tunnel
大底過烘箱</t>
  </si>
  <si>
    <t>OS drying machine
烘乾機</t>
  </si>
  <si>
    <t>OS UV Conveyor 12 m
输送带流水线 12 m</t>
  </si>
  <si>
    <t>Heat outsole
大底過預熱</t>
  </si>
  <si>
    <t>Rubber  priming
橡胶大底擦处理剂</t>
  </si>
  <si>
    <t>Rubber checking
檢查大底</t>
  </si>
  <si>
    <t>metal detector
大底过检针机检测</t>
  </si>
  <si>
    <t>Washing &amp; Priming Outsole</t>
  </si>
  <si>
    <t>OS Chemical Degreasing Machine
水洗機</t>
  </si>
  <si>
    <t>Midsole washing
中底水洗</t>
  </si>
  <si>
    <t>Midsole pass the heat tunnel
中底過烘箱</t>
  </si>
  <si>
    <t xml:space="preserve"> Midsole  UV priming
中底反面第一次擦照射处理剂</t>
  </si>
  <si>
    <t>Passed to the heating tunnel
过烘箱</t>
  </si>
  <si>
    <t>Inspection and touch up.</t>
  </si>
  <si>
    <t>Midsole checking
中底检查 (QC)</t>
  </si>
  <si>
    <t>Midsole chilling
中底过冷冻</t>
  </si>
  <si>
    <t>UV radiation the midsole back side
中底反面照射</t>
  </si>
  <si>
    <t>Midsole date stamping
中底盖章</t>
  </si>
  <si>
    <t>Washing &amp; Priming Midsole</t>
  </si>
  <si>
    <t>MS Warm Water Washing Machine
水洗機</t>
  </si>
  <si>
    <t>Chilling Machine 3.4m
自動急速冷凍定型機 3.4m</t>
  </si>
  <si>
    <t>UV Primming machine
UV照射機</t>
  </si>
  <si>
    <t>Drop material
放料</t>
  </si>
  <si>
    <t>IP Attaching Double Conveyor 21 m
雙層貼合流水線 21 m</t>
  </si>
  <si>
    <t>Midsole reinf priming
中底擦补强处理剂</t>
  </si>
  <si>
    <t>Rubber reinf priming
橡胶大底擦补强处理剂</t>
  </si>
  <si>
    <t>Midsole cementing
中底擦胶水</t>
  </si>
  <si>
    <t>Cementing the rubber
橡胶大底擦胶水</t>
  </si>
  <si>
    <t>Cut RB &amp; tidying
挂大底上斩刀斩大底 取大底</t>
  </si>
  <si>
    <t>Midsole and rubber attachment
中底与大底贴合</t>
  </si>
  <si>
    <t>HYDRAULIC PRESSING</t>
  </si>
  <si>
    <t xml:space="preserve"> Chilling
过冷冻</t>
  </si>
  <si>
    <t>Finished outsole checking
QC 检查大底</t>
  </si>
  <si>
    <t>Stockfit - Attaching</t>
  </si>
  <si>
    <t>Cementing machine-OS
固井機</t>
  </si>
  <si>
    <t>Cut RB machine
裁橡膠大底機</t>
  </si>
  <si>
    <t>RB  buffing ( tip)
橡胶大底鞋头处打粗</t>
  </si>
  <si>
    <t>Conveyor  12 m
12米輸送機</t>
  </si>
  <si>
    <t>Midsole net UV priming
中底内仁擦照射处理剂</t>
  </si>
  <si>
    <t>Outsole  chilling
中底过冷冻</t>
  </si>
  <si>
    <t xml:space="preserve"> UV Radiation
中底内仁面照射</t>
  </si>
  <si>
    <t>Date Stamping
成品大底盖章</t>
  </si>
  <si>
    <t>Stockfit - 2nd UV</t>
  </si>
  <si>
    <t>Auto Stamping machine JY-JET1030
燙金機</t>
  </si>
  <si>
    <t>Vamp top</t>
  </si>
  <si>
    <t>Vamp bottom</t>
  </si>
  <si>
    <t>Tongue top</t>
  </si>
  <si>
    <t>Tongue bottom</t>
  </si>
  <si>
    <t>Collar lining</t>
  </si>
  <si>
    <t>Tongue foam</t>
  </si>
  <si>
    <t>Small Collar foam</t>
  </si>
  <si>
    <t>Stroble</t>
  </si>
  <si>
    <t>Collar foam
反口泡棉</t>
  </si>
  <si>
    <t>Heel counter</t>
  </si>
  <si>
    <t>Toe box reinf</t>
  </si>
  <si>
    <t>Toe box</t>
  </si>
  <si>
    <t>Eyestay reinf lat/med</t>
  </si>
  <si>
    <t>Quarter reinf lat</t>
  </si>
  <si>
    <t>Quarter reinf med</t>
  </si>
  <si>
    <t>Heel Reinf EVA</t>
  </si>
  <si>
    <t>Collar Reinf EVA</t>
  </si>
  <si>
    <t>Heel underlay</t>
  </si>
  <si>
    <t>Revel 9</t>
  </si>
  <si>
    <t>Auto Traveling Head</t>
  </si>
  <si>
    <t xml:space="preserve"> Collar foam skiving</t>
  </si>
  <si>
    <t>Heel reinf EVA Skiving</t>
  </si>
  <si>
    <t xml:space="preserve"> Heel counter skiving</t>
  </si>
  <si>
    <t>Toebox skiving</t>
  </si>
  <si>
    <t>Punching holes heel overlay (after print)</t>
  </si>
  <si>
    <t xml:space="preserve">Heel overlay (after print) </t>
  </si>
  <si>
    <t>W/B printing strobel</t>
  </si>
  <si>
    <t>W/B printing vamp bottom</t>
  </si>
  <si>
    <t>W/B printing collar lining</t>
  </si>
  <si>
    <t>Auto puching machine</t>
  </si>
  <si>
    <t>Auto print machine</t>
  </si>
  <si>
    <t>HF 3000</t>
  </si>
  <si>
    <t>Tear off release paper and hang M/L eyestay overlay bottom on template follow pin holes.</t>
  </si>
  <si>
    <t>Tear off release paper and hang M/L eyestay overlay top on template follow pin holes.</t>
  </si>
  <si>
    <t>Tear off release paper and hang M/L path follow pin holes.</t>
  </si>
  <si>
    <t>Hang the vamp top on the template</t>
  </si>
  <si>
    <t>HF VAMP TOP</t>
  </si>
  <si>
    <t>HF 2500</t>
  </si>
  <si>
    <t>Nosew Vamp Bottom</t>
  </si>
  <si>
    <t>Tear off the release paper of toe box reinf, use heat gun to attach toe box permanently on toe box reinf back side, do not make material broken.</t>
  </si>
  <si>
    <t>Hang the vamp on the template, left side face up</t>
  </si>
  <si>
    <t>Hang the toe box reinf on the vamp follows the nail holes.</t>
  </si>
  <si>
    <t>Hang eyestay reinf L/M on template.</t>
  </si>
  <si>
    <t>Tear off release paper and hang quarter reinf on template follow pin holes.</t>
  </si>
  <si>
    <t>Heat and cold Pressing vamp</t>
  </si>
  <si>
    <t>Heatting and cold Pressing Machine
热压/冷压机</t>
  </si>
  <si>
    <t>The convex material vamp bottom trimming</t>
  </si>
  <si>
    <t>EYESTAY CORD CUTTING</t>
  </si>
  <si>
    <t>Prepare to eyelet stitching</t>
  </si>
  <si>
    <t>EYELET LAT MED STITCHING</t>
  </si>
  <si>
    <t>Vamp top and vamp bottom stitching</t>
  </si>
  <si>
    <t>Vamp top and vamp bottom cementing</t>
  </si>
  <si>
    <t>Vamp top and vamp bottom attaching</t>
  </si>
  <si>
    <t>Vamp top and vamp bottom hammering</t>
  </si>
  <si>
    <t>Vamp top and vamp bottom edge stitching</t>
  </si>
  <si>
    <t>Eyestay overlay bottom stitsching</t>
  </si>
  <si>
    <t>Med lat path  stitsching</t>
  </si>
  <si>
    <t>Electric cutting machine</t>
  </si>
  <si>
    <t>3020 Computer Stitching Machine
電腦車</t>
  </si>
  <si>
    <t>Tongue logo stitching</t>
  </si>
  <si>
    <t>Seam stitching tongue top &amp; tongue bottom</t>
  </si>
  <si>
    <t>Massage tongue after seam stitching</t>
  </si>
  <si>
    <t>Stitching tongue top &amp; tongue bottom</t>
  </si>
  <si>
    <t>Tongue foam cementing, attaching and turning</t>
  </si>
  <si>
    <t>TONGUE EDGE STITCHING</t>
  </si>
  <si>
    <t>COLLAR LINING EDGE STITCHING</t>
  </si>
  <si>
    <t>TIP ZIGZAG STITCHING</t>
  </si>
  <si>
    <t>HEEL COUNTER ZIGZAG STITCHING</t>
  </si>
  <si>
    <t>Heel seam stitching</t>
  </si>
  <si>
    <t>Cementing and hammering heel seaming area</t>
  </si>
  <si>
    <t>Masage at heel seaming area</t>
  </si>
  <si>
    <t>HEEL UNDERLAY  ATTACHING WITH HEEL OVERLAY</t>
  </si>
  <si>
    <t>HEEL OVERLAY ATTACHING</t>
  </si>
  <si>
    <t>HEEL OVERLAY PRESSING</t>
  </si>
  <si>
    <t>Heel hammering</t>
  </si>
  <si>
    <t>Collar lining stitchingand trimming( 1ST)</t>
  </si>
  <si>
    <t>Collar lining cementing and attaching</t>
  </si>
  <si>
    <t>Masage at collar lining seaming area</t>
  </si>
  <si>
    <t>Collar lining stitching and trimming( 2ND)</t>
  </si>
  <si>
    <t>Collar lining(2ND) cementing and turning</t>
  </si>
  <si>
    <t>Collar lining (2ND) hammering</t>
  </si>
  <si>
    <t>STITCHING HEEL COUNTER
车港宝</t>
  </si>
  <si>
    <t>Overlock Stitching Machine</t>
  </si>
  <si>
    <t>Zigzag Stitching Machine (3P)
三點萬能車</t>
  </si>
  <si>
    <t>Automatical cementing machine</t>
  </si>
  <si>
    <t>3D pressing machine</t>
  </si>
  <si>
    <t>Main-Stitching</t>
  </si>
  <si>
    <t>Spray glue and attaching collar reinf EVA</t>
  </si>
  <si>
    <t>Spray glue and attaching Heel reinf EVA</t>
  </si>
  <si>
    <t>SPRAYING CEMENT QUARTER
鞋身內外腰喷胶</t>
  </si>
  <si>
    <t>Attach collar foam 1 with collar foam</t>
  </si>
  <si>
    <t>SPRAYING CEMENT, ATTACH COLLAR FOAM
喷胶，贴领口泡棉</t>
  </si>
  <si>
    <t>REPAIR CEMENT COLLAR LINING
反口里两边补胶</t>
  </si>
  <si>
    <t>UPPER BOTTOM EDGE STITCHING</t>
  </si>
  <si>
    <t>COLLAR LINING FIX STITCHING
領口壓線</t>
  </si>
  <si>
    <t>TONGUE STITCHING
接鞋舌</t>
  </si>
  <si>
    <t>HEEL COUNTER ACTIVATION
烤港寶</t>
  </si>
  <si>
    <t>BACK PART MOLDING
后踵定型</t>
  </si>
  <si>
    <t>UPPER BOTTOM EDGE STITCHING (2ND)</t>
  </si>
  <si>
    <t>LACING
穿鞋带</t>
  </si>
  <si>
    <t xml:space="preserve"> 2 Hot &amp; 2 Cold Molding Machine
空压气袋后踵定型2冷2热</t>
  </si>
  <si>
    <t>Adhesive HM Spraying Machine 噴膠機 &amp; Table</t>
  </si>
  <si>
    <t>FOLDING COLLAR LINING</t>
  </si>
  <si>
    <t>SPRAYING CEMENT ON COLLAR LINING BACK SIDE</t>
  </si>
  <si>
    <t>Heel lasting
打後幫</t>
  </si>
  <si>
    <t>Tightening laces
調整鞋帶</t>
  </si>
  <si>
    <t>Tip hammering
鞋頭按摩</t>
  </si>
  <si>
    <t>Path and heel overlay primming</t>
  </si>
  <si>
    <t>Outsole rubber tip priming
大底鞋頭上處理劑</t>
  </si>
  <si>
    <t>Outsole reinf priming + oven 3</t>
  </si>
  <si>
    <t>Upper and strobel reinf priming
中底布上補強膠</t>
  </si>
  <si>
    <t>Outsole cementing + oven 4</t>
  </si>
  <si>
    <t>Upper and strobel cementing
中底布刷膠</t>
  </si>
  <si>
    <t>Sole laying
貼合</t>
  </si>
  <si>
    <t>QC check
QC檢查</t>
  </si>
  <si>
    <t>Delasting machine
脫楦器</t>
  </si>
  <si>
    <t>Stockfit - Buffing</t>
  </si>
  <si>
    <t>OUTSOLE BUFFING AND DUST BLOWING
橡胶大底打粗</t>
  </si>
  <si>
    <t>NA</t>
  </si>
  <si>
    <t>Stockfit - Washing &amp; Priming Outsole</t>
  </si>
  <si>
    <t>Stockfit - Washing &amp; Priming Midsole</t>
  </si>
  <si>
    <t xml:space="preserve"> Midsole  UV priming 1st
中底反面第一次擦照射处理剂</t>
  </si>
  <si>
    <t xml:space="preserve"> Midsole  UV priming 2ND
中底反面第一次擦照射处理剂</t>
  </si>
  <si>
    <t>HYDRAULIC PRESS</t>
  </si>
  <si>
    <t>Cementing machine</t>
  </si>
  <si>
    <t>Midsole Buffing</t>
  </si>
  <si>
    <t>Conveyor  12 m</t>
  </si>
  <si>
    <t>Passed to the heating tunnel</t>
  </si>
  <si>
    <t>Auto Stamping machine
JY-JET1030</t>
  </si>
  <si>
    <t>Anthem 9</t>
  </si>
  <si>
    <t>Collar foam</t>
  </si>
  <si>
    <t>Smail Collar foam</t>
  </si>
  <si>
    <t>Vamp</t>
  </si>
  <si>
    <t>Heel top</t>
  </si>
  <si>
    <t>Heel EVA</t>
  </si>
  <si>
    <t xml:space="preserve">Toe box reinf </t>
  </si>
  <si>
    <t>Heel overlay</t>
  </si>
  <si>
    <t xml:space="preserve">Heel </t>
  </si>
  <si>
    <t>Heel foam</t>
  </si>
  <si>
    <t>Path logo lat</t>
  </si>
  <si>
    <t>Tongue lining</t>
  </si>
  <si>
    <t xml:space="preserve">Heel counter </t>
  </si>
  <si>
    <t>Laser cutting machine</t>
  </si>
  <si>
    <t xml:space="preserve"> Swing Arm Cutting Machine
搖臂式油壓裁斷機</t>
  </si>
  <si>
    <t>Auto travelling - head cutting machine</t>
  </si>
  <si>
    <t>W/B printing vamp</t>
  </si>
  <si>
    <t>Heat pressing the tongue label</t>
  </si>
  <si>
    <t xml:space="preserve"> Collar foam skiving 1ST time</t>
  </si>
  <si>
    <t xml:space="preserve"> Collar foam skiving 2nd time</t>
  </si>
  <si>
    <t>AUTO PUCHING MACHINE</t>
  </si>
  <si>
    <t>"Auto printing machine"</t>
  </si>
  <si>
    <t>Punching tongue</t>
  </si>
  <si>
    <t>Cut the vamp inner area after Nosew (2nd cut)</t>
  </si>
  <si>
    <t>U-THROAT FOLDING</t>
  </si>
  <si>
    <t>搖臂式油壓裁斷機
 Swing Arm Cutting Machine</t>
  </si>
  <si>
    <t>U-throat folding machine</t>
  </si>
  <si>
    <t>Tear off the release paper of toe reinf, use heat gun to attach toe box permanently on toe reinf back side (align with center of pin holes on toe reinf), do not make material broken.</t>
  </si>
  <si>
    <t>Tear off the release paper and hang eyestay overlay lat med on template follow pin holes (back side faces up, pay attention that the side with logo printing is lateral side).</t>
  </si>
  <si>
    <t>Tear off the release paper and hang L path logo on template follow pin holes (back side faces up).</t>
  </si>
  <si>
    <t>Tear off the release paper, brush cement C-031F and hang M/L eyestay reinf on template follow pin holes (main side faces up).</t>
  </si>
  <si>
    <t>Tear off the release paper and hang M/L quarter reinf on template follow pin holes (main side faces up).</t>
  </si>
  <si>
    <t>Nosew - Vamp</t>
  </si>
  <si>
    <t>Heatting and cold Pressing Machine</t>
  </si>
  <si>
    <t>Hang tongue on template at correct position, put down top template.</t>
  </si>
  <si>
    <t>Tear off release paper, brush cement C-031F and attach tongue lace keeper on tongue follows template. Pay attention to distinguish left and right side of tongue lace keeper.</t>
  </si>
  <si>
    <t>Nosew - Tongue</t>
  </si>
  <si>
    <t>Take out tongue from template, put tongue on nosew machine between 1mm white silicone and teflon. Heat and cold Pressing tongue
鞋舌/冷壓熱壓
Note: Press 6 - 10pcs per time.</t>
  </si>
  <si>
    <t>Tear off release paper and put heel overlay at correct position on
nosew board (back side faces up).</t>
  </si>
  <si>
    <t>Hang heel on template follows pin holes.</t>
  </si>
  <si>
    <t>Tear off release paper and hang heel reinf 1 on heel follows pin
holes (back side faces down).</t>
  </si>
  <si>
    <t>Tear off release paper and hang heel reinf 2 on heel reinf 1 follows
pin holes (main side faces up).</t>
  </si>
  <si>
    <t>Nosew - Heel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</si>
</sst>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1"/>
      <color theme="0"/>
      <name val="Aptos Narrow"/>
      <family val="2"/>
      <scheme val="minor"/>
    </font>
    <font>
      <sz val="9"/>
      <color indexed="81"/>
      <name val="Tahoma"/>
      <family val="2"/>
    </font>
  </fonts>
  <fills count="6">
    <fill>
      <patternFill patternType="none"/>
    </fill>
    <fill>
      <patternFill patternType="gray125"/>
    </fill>
    <fill>
      <patternFill patternType="solid">
        <fgColor theme="4"/>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9" fontId="0" fillId="0" borderId="0" xfId="0" applyNumberFormat="1"/>
    <xf numFmtId="2" fontId="0" fillId="0" borderId="0" xfId="0" applyNumberFormat="1"/>
    <xf numFmtId="2" fontId="0" fillId="0" borderId="0" xfId="0" applyNumberFormat="1" applyAlignment="1">
      <alignment horizontal="center"/>
    </xf>
    <xf numFmtId="0" fontId="1" fillId="2" borderId="0" xfId="0" applyFont="1" applyFill="1" applyAlignment="1">
      <alignment horizontal="center" vertical="center"/>
    </xf>
    <xf numFmtId="0" fontId="0" fillId="3" borderId="0" xfId="0" applyFill="1"/>
    <xf numFmtId="0" fontId="0" fillId="0" borderId="0" xfId="0" applyAlignment="1"/>
    <xf numFmtId="0" fontId="0" fillId="4" borderId="0" xfId="0" applyFill="1"/>
    <xf numFmtId="0" fontId="0" fillId="5" borderId="0" xfId="0" applyFill="1"/>
    <xf numFmtId="2" fontId="0" fillId="0" borderId="0" xfId="0" applyNumberFormat="1" applyAlignment="1">
      <alignment horizontal="right"/>
    </xf>
    <xf numFmtId="0" fontId="2"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34DDA-A458-4048-A368-0F070BD532E1}">
  <dimension ref="B2:N392"/>
  <sheetViews>
    <sheetView tabSelected="1" zoomScale="85" zoomScaleNormal="85" workbookViewId="0">
      <pane ySplit="2" topLeftCell="A372" activePane="bottomLeft" state="frozen"/>
      <selection pane="bottomLeft" activeCell="K402" sqref="K402"/>
    </sheetView>
  </sheetViews>
  <sheetFormatPr defaultRowHeight="15" x14ac:dyDescent="0.25"/>
  <cols>
    <col min="1" max="1" width="3.5703125" customWidth="1"/>
    <col min="2" max="2" width="14.5703125" customWidth="1"/>
    <col min="3" max="3" width="14.140625" customWidth="1"/>
    <col min="4" max="4" width="25.5703125" bestFit="1" customWidth="1"/>
    <col min="5" max="5" width="21.5703125" customWidth="1"/>
    <col min="6" max="7" width="15" customWidth="1"/>
    <col min="8" max="9" width="27.7109375" customWidth="1"/>
    <col min="10" max="10" width="26.7109375" customWidth="1"/>
    <col min="11" max="11" width="22" customWidth="1"/>
    <col min="12" max="12" width="35.42578125" customWidth="1"/>
    <col min="13" max="13" width="14.140625" customWidth="1"/>
  </cols>
  <sheetData>
    <row r="2" spans="2:14" ht="28.5" customHeight="1" x14ac:dyDescent="0.25">
      <c r="B2" s="5" t="s">
        <v>0</v>
      </c>
      <c r="C2" s="5" t="s">
        <v>1</v>
      </c>
      <c r="D2" s="5"/>
      <c r="E2" s="5" t="s">
        <v>2</v>
      </c>
      <c r="F2" s="5" t="s">
        <v>3</v>
      </c>
      <c r="G2" s="5" t="s">
        <v>13</v>
      </c>
      <c r="H2" s="5" t="s">
        <v>12</v>
      </c>
      <c r="I2" s="5" t="s">
        <v>14</v>
      </c>
      <c r="J2" s="5" t="s">
        <v>4</v>
      </c>
      <c r="K2" s="5" t="s">
        <v>5</v>
      </c>
      <c r="L2" s="5" t="s">
        <v>7</v>
      </c>
      <c r="M2" s="5" t="s">
        <v>6</v>
      </c>
    </row>
    <row r="3" spans="2:14" x14ac:dyDescent="0.25">
      <c r="B3" t="s">
        <v>8</v>
      </c>
      <c r="C3" t="s">
        <v>9</v>
      </c>
      <c r="D3" t="s">
        <v>9</v>
      </c>
      <c r="E3" t="s">
        <v>11</v>
      </c>
      <c r="F3" s="3">
        <v>31.1</v>
      </c>
      <c r="G3" s="2">
        <v>0.15</v>
      </c>
      <c r="H3" s="3">
        <f>+F3+(F3*G3)</f>
        <v>35.765000000000001</v>
      </c>
      <c r="I3">
        <v>240</v>
      </c>
      <c r="J3" s="4">
        <f>+H3/(3600/I3)</f>
        <v>2.3843333333333332</v>
      </c>
      <c r="K3" s="1">
        <f>IF(SUM(J3:J3)=0,"NA",IF(SUM(J3:J3)&lt;1,1,IF(MOD(SUM(J3:J3),1)&gt;=0.5,ROUNDUP(SUM(J3:J3),0),ROUNDDOWN(SUM(J3:J3),0))))</f>
        <v>2</v>
      </c>
      <c r="L3" t="s">
        <v>15</v>
      </c>
      <c r="M3" s="4">
        <f>+K3</f>
        <v>2</v>
      </c>
      <c r="N3" s="6"/>
    </row>
    <row r="4" spans="2:14" x14ac:dyDescent="0.25">
      <c r="B4" t="s">
        <v>8</v>
      </c>
      <c r="C4" t="s">
        <v>9</v>
      </c>
      <c r="D4" t="s">
        <v>9</v>
      </c>
      <c r="E4" t="s">
        <v>20</v>
      </c>
      <c r="F4" s="3">
        <v>6.5</v>
      </c>
      <c r="G4" s="2">
        <v>0.15</v>
      </c>
      <c r="H4" s="3">
        <f t="shared" ref="H4:H25" si="0">+F4+(F4*G4)</f>
        <v>7.4749999999999996</v>
      </c>
      <c r="I4">
        <v>240</v>
      </c>
      <c r="J4" s="4">
        <f t="shared" ref="J4:J25" si="1">+H4/(3600/I4)</f>
        <v>0.49833333333333329</v>
      </c>
      <c r="K4" s="1">
        <f t="shared" ref="K4:K32" si="2">IF(SUM(J4:J4)=0,"NA",IF(SUM(J4:J4)&lt;1,1,IF(MOD(SUM(J4:J4),1)&gt;=0.5,ROUNDUP(SUM(J4:J4),0),ROUNDDOWN(SUM(J4:J4),0))))</f>
        <v>1</v>
      </c>
      <c r="L4" t="s">
        <v>16</v>
      </c>
      <c r="M4" s="4">
        <f t="shared" ref="M4:M67" si="3">+K4</f>
        <v>1</v>
      </c>
      <c r="N4" s="6"/>
    </row>
    <row r="5" spans="2:14" x14ac:dyDescent="0.25">
      <c r="B5" t="s">
        <v>8</v>
      </c>
      <c r="C5" t="s">
        <v>9</v>
      </c>
      <c r="D5" t="s">
        <v>9</v>
      </c>
      <c r="E5" t="s">
        <v>21</v>
      </c>
      <c r="F5" s="3">
        <v>6.5</v>
      </c>
      <c r="G5" s="2">
        <v>0.15</v>
      </c>
      <c r="H5" s="3">
        <f t="shared" si="0"/>
        <v>7.4749999999999996</v>
      </c>
      <c r="I5">
        <v>240</v>
      </c>
      <c r="J5" s="4">
        <f t="shared" si="1"/>
        <v>0.49833333333333329</v>
      </c>
      <c r="K5" s="1">
        <f>IF(SUM(J5:J5)=0,"NA",IF(SUM(J5:J5)&lt;1,1,IF(MOD(SUM(J5:J5),1)&gt;=0.5,ROUNDUP(SUM(J5:J5),0),ROUNDDOWN(SUM(J5:J5),0))))</f>
        <v>1</v>
      </c>
      <c r="L5" t="s">
        <v>16</v>
      </c>
      <c r="M5" s="4">
        <f t="shared" si="3"/>
        <v>1</v>
      </c>
      <c r="N5" s="6"/>
    </row>
    <row r="6" spans="2:14" x14ac:dyDescent="0.25">
      <c r="B6" t="s">
        <v>8</v>
      </c>
      <c r="C6" t="s">
        <v>9</v>
      </c>
      <c r="D6" t="s">
        <v>9</v>
      </c>
      <c r="E6" t="s">
        <v>22</v>
      </c>
      <c r="F6" s="3">
        <v>4.5</v>
      </c>
      <c r="G6" s="2">
        <v>0.15</v>
      </c>
      <c r="H6" s="3">
        <f t="shared" si="0"/>
        <v>5.1749999999999998</v>
      </c>
      <c r="I6">
        <v>240</v>
      </c>
      <c r="J6" s="4">
        <f t="shared" si="1"/>
        <v>0.34499999999999997</v>
      </c>
      <c r="K6" s="1">
        <f t="shared" si="2"/>
        <v>1</v>
      </c>
      <c r="L6" t="s">
        <v>16</v>
      </c>
      <c r="M6" s="4">
        <f t="shared" si="3"/>
        <v>1</v>
      </c>
      <c r="N6" s="6"/>
    </row>
    <row r="7" spans="2:14" x14ac:dyDescent="0.25">
      <c r="B7" t="s">
        <v>8</v>
      </c>
      <c r="C7" t="s">
        <v>9</v>
      </c>
      <c r="D7" t="s">
        <v>9</v>
      </c>
      <c r="E7" t="s">
        <v>23</v>
      </c>
      <c r="F7" s="3">
        <v>4.6500000000000004</v>
      </c>
      <c r="G7" s="2">
        <v>0.15</v>
      </c>
      <c r="H7" s="3">
        <f t="shared" si="0"/>
        <v>5.3475000000000001</v>
      </c>
      <c r="I7">
        <v>240</v>
      </c>
      <c r="J7" s="4">
        <f t="shared" si="1"/>
        <v>0.35649999999999998</v>
      </c>
      <c r="K7" s="1">
        <f t="shared" si="2"/>
        <v>1</v>
      </c>
      <c r="L7" t="s">
        <v>16</v>
      </c>
      <c r="M7" s="4">
        <f t="shared" si="3"/>
        <v>1</v>
      </c>
      <c r="N7" s="6"/>
    </row>
    <row r="8" spans="2:14" x14ac:dyDescent="0.25">
      <c r="B8" t="s">
        <v>8</v>
      </c>
      <c r="C8" t="s">
        <v>9</v>
      </c>
      <c r="D8" t="s">
        <v>9</v>
      </c>
      <c r="E8" t="s">
        <v>24</v>
      </c>
      <c r="F8" s="3">
        <v>3.5091666666666668</v>
      </c>
      <c r="G8" s="2">
        <v>0.15</v>
      </c>
      <c r="H8" s="3">
        <f t="shared" si="0"/>
        <v>4.035541666666667</v>
      </c>
      <c r="I8">
        <v>240</v>
      </c>
      <c r="J8" s="4">
        <f t="shared" si="1"/>
        <v>0.26903611111111114</v>
      </c>
      <c r="K8" s="1">
        <f t="shared" si="2"/>
        <v>1</v>
      </c>
      <c r="L8" t="s">
        <v>16</v>
      </c>
      <c r="M8" s="4">
        <f t="shared" si="3"/>
        <v>1</v>
      </c>
      <c r="N8" s="6"/>
    </row>
    <row r="9" spans="2:14" x14ac:dyDescent="0.25">
      <c r="B9" t="s">
        <v>8</v>
      </c>
      <c r="C9" t="s">
        <v>9</v>
      </c>
      <c r="D9" t="s">
        <v>9</v>
      </c>
      <c r="E9" t="s">
        <v>25</v>
      </c>
      <c r="F9" s="3">
        <v>8.5</v>
      </c>
      <c r="G9" s="2">
        <v>0.15</v>
      </c>
      <c r="H9" s="3">
        <f t="shared" si="0"/>
        <v>9.7750000000000004</v>
      </c>
      <c r="I9">
        <v>240</v>
      </c>
      <c r="J9" s="4">
        <f t="shared" si="1"/>
        <v>0.65166666666666673</v>
      </c>
      <c r="K9" s="1">
        <f t="shared" si="2"/>
        <v>1</v>
      </c>
      <c r="L9" t="s">
        <v>16</v>
      </c>
      <c r="M9" s="4">
        <f t="shared" si="3"/>
        <v>1</v>
      </c>
      <c r="N9" s="6"/>
    </row>
    <row r="10" spans="2:14" x14ac:dyDescent="0.25">
      <c r="B10" t="s">
        <v>8</v>
      </c>
      <c r="C10" t="s">
        <v>9</v>
      </c>
      <c r="D10" t="s">
        <v>9</v>
      </c>
      <c r="E10" t="s">
        <v>26</v>
      </c>
      <c r="F10" s="3">
        <v>8</v>
      </c>
      <c r="G10" s="2">
        <v>0.15</v>
      </c>
      <c r="H10" s="3">
        <f t="shared" si="0"/>
        <v>9.1999999999999993</v>
      </c>
      <c r="I10">
        <v>240</v>
      </c>
      <c r="J10" s="4">
        <f t="shared" si="1"/>
        <v>0.61333333333333329</v>
      </c>
      <c r="K10" s="1">
        <f t="shared" si="2"/>
        <v>1</v>
      </c>
      <c r="L10" t="s">
        <v>16</v>
      </c>
      <c r="M10" s="4">
        <f t="shared" si="3"/>
        <v>1</v>
      </c>
      <c r="N10" s="6"/>
    </row>
    <row r="11" spans="2:14" x14ac:dyDescent="0.25">
      <c r="B11" t="s">
        <v>8</v>
      </c>
      <c r="C11" t="s">
        <v>9</v>
      </c>
      <c r="D11" t="s">
        <v>9</v>
      </c>
      <c r="E11" t="s">
        <v>27</v>
      </c>
      <c r="F11" s="3">
        <v>6.5</v>
      </c>
      <c r="G11" s="2">
        <v>0.15</v>
      </c>
      <c r="H11" s="3">
        <f t="shared" si="0"/>
        <v>7.4749999999999996</v>
      </c>
      <c r="I11">
        <v>240</v>
      </c>
      <c r="J11" s="4">
        <f t="shared" si="1"/>
        <v>0.49833333333333329</v>
      </c>
      <c r="K11" s="1">
        <f t="shared" si="2"/>
        <v>1</v>
      </c>
      <c r="L11" t="s">
        <v>16</v>
      </c>
      <c r="M11" s="4">
        <f t="shared" si="3"/>
        <v>1</v>
      </c>
      <c r="N11" s="6"/>
    </row>
    <row r="12" spans="2:14" x14ac:dyDescent="0.25">
      <c r="B12" t="s">
        <v>8</v>
      </c>
      <c r="C12" t="s">
        <v>9</v>
      </c>
      <c r="D12" t="s">
        <v>9</v>
      </c>
      <c r="E12" t="s">
        <v>28</v>
      </c>
      <c r="F12" s="3">
        <v>8.5</v>
      </c>
      <c r="G12" s="2">
        <v>0.15</v>
      </c>
      <c r="H12" s="3">
        <f t="shared" si="0"/>
        <v>9.7750000000000004</v>
      </c>
      <c r="I12">
        <v>240</v>
      </c>
      <c r="J12" s="4">
        <f t="shared" si="1"/>
        <v>0.65166666666666673</v>
      </c>
      <c r="K12" s="1">
        <f t="shared" si="2"/>
        <v>1</v>
      </c>
      <c r="L12" t="s">
        <v>16</v>
      </c>
      <c r="M12" s="4">
        <f t="shared" si="3"/>
        <v>1</v>
      </c>
      <c r="N12" s="6"/>
    </row>
    <row r="13" spans="2:14" x14ac:dyDescent="0.25">
      <c r="B13" t="s">
        <v>8</v>
      </c>
      <c r="C13" t="s">
        <v>9</v>
      </c>
      <c r="D13" t="s">
        <v>9</v>
      </c>
      <c r="E13" t="s">
        <v>29</v>
      </c>
      <c r="F13" s="3">
        <v>3.1</v>
      </c>
      <c r="G13" s="2">
        <v>0.15</v>
      </c>
      <c r="H13" s="3">
        <f t="shared" si="0"/>
        <v>3.5649999999999999</v>
      </c>
      <c r="I13">
        <v>240</v>
      </c>
      <c r="J13" s="4">
        <f t="shared" si="1"/>
        <v>0.23766666666666666</v>
      </c>
      <c r="K13" s="1">
        <f t="shared" si="2"/>
        <v>1</v>
      </c>
      <c r="L13" t="s">
        <v>17</v>
      </c>
      <c r="M13" s="4">
        <f t="shared" si="3"/>
        <v>1</v>
      </c>
      <c r="N13" s="6"/>
    </row>
    <row r="14" spans="2:14" x14ac:dyDescent="0.25">
      <c r="B14" t="s">
        <v>8</v>
      </c>
      <c r="C14" t="s">
        <v>9</v>
      </c>
      <c r="D14" t="s">
        <v>9</v>
      </c>
      <c r="E14" t="s">
        <v>30</v>
      </c>
      <c r="F14" s="3">
        <v>3.3</v>
      </c>
      <c r="G14" s="2">
        <v>0.15</v>
      </c>
      <c r="H14" s="3">
        <f t="shared" si="0"/>
        <v>3.7949999999999999</v>
      </c>
      <c r="I14">
        <v>240</v>
      </c>
      <c r="J14" s="4">
        <f t="shared" si="1"/>
        <v>0.253</v>
      </c>
      <c r="K14" s="1">
        <f t="shared" si="2"/>
        <v>1</v>
      </c>
      <c r="L14" t="s">
        <v>17</v>
      </c>
      <c r="M14" s="4">
        <f t="shared" si="3"/>
        <v>1</v>
      </c>
      <c r="N14" s="6"/>
    </row>
    <row r="15" spans="2:14" x14ac:dyDescent="0.25">
      <c r="B15" t="s">
        <v>8</v>
      </c>
      <c r="C15" t="s">
        <v>9</v>
      </c>
      <c r="D15" t="s">
        <v>9</v>
      </c>
      <c r="E15" t="s">
        <v>31</v>
      </c>
      <c r="F15" s="3">
        <v>3.3</v>
      </c>
      <c r="G15" s="2">
        <v>0.15</v>
      </c>
      <c r="H15" s="3">
        <f t="shared" si="0"/>
        <v>3.7949999999999999</v>
      </c>
      <c r="I15">
        <v>240</v>
      </c>
      <c r="J15" s="4">
        <f t="shared" si="1"/>
        <v>0.253</v>
      </c>
      <c r="K15" s="1">
        <f t="shared" si="2"/>
        <v>1</v>
      </c>
      <c r="L15" t="s">
        <v>17</v>
      </c>
      <c r="M15" s="4">
        <f t="shared" si="3"/>
        <v>1</v>
      </c>
      <c r="N15" s="6"/>
    </row>
    <row r="16" spans="2:14" x14ac:dyDescent="0.25">
      <c r="B16" t="s">
        <v>8</v>
      </c>
      <c r="C16" t="s">
        <v>9</v>
      </c>
      <c r="D16" t="s">
        <v>9</v>
      </c>
      <c r="E16" t="s">
        <v>32</v>
      </c>
      <c r="F16" s="3">
        <v>3</v>
      </c>
      <c r="G16" s="2">
        <v>0.15</v>
      </c>
      <c r="H16" s="3">
        <f t="shared" si="0"/>
        <v>3.45</v>
      </c>
      <c r="I16">
        <v>240</v>
      </c>
      <c r="J16" s="4">
        <f t="shared" si="1"/>
        <v>0.23</v>
      </c>
      <c r="K16" s="1">
        <f t="shared" si="2"/>
        <v>1</v>
      </c>
      <c r="L16" t="s">
        <v>17</v>
      </c>
      <c r="M16" s="4">
        <f t="shared" si="3"/>
        <v>1</v>
      </c>
      <c r="N16" s="6"/>
    </row>
    <row r="17" spans="2:14" x14ac:dyDescent="0.25">
      <c r="B17" t="s">
        <v>8</v>
      </c>
      <c r="C17" t="s">
        <v>9</v>
      </c>
      <c r="D17" t="s">
        <v>9</v>
      </c>
      <c r="E17" t="s">
        <v>33</v>
      </c>
      <c r="F17" s="3">
        <v>5</v>
      </c>
      <c r="G17" s="2">
        <v>0.15</v>
      </c>
      <c r="H17" s="3">
        <f t="shared" si="0"/>
        <v>5.75</v>
      </c>
      <c r="I17">
        <v>240</v>
      </c>
      <c r="J17" s="4">
        <f t="shared" si="1"/>
        <v>0.38333333333333336</v>
      </c>
      <c r="K17" s="1">
        <f t="shared" si="2"/>
        <v>1</v>
      </c>
      <c r="L17" t="s">
        <v>17</v>
      </c>
      <c r="M17" s="4">
        <f t="shared" si="3"/>
        <v>1</v>
      </c>
      <c r="N17" s="6"/>
    </row>
    <row r="18" spans="2:14" x14ac:dyDescent="0.25">
      <c r="B18" t="s">
        <v>8</v>
      </c>
      <c r="C18" t="s">
        <v>9</v>
      </c>
      <c r="D18" t="s">
        <v>9</v>
      </c>
      <c r="E18" t="s">
        <v>34</v>
      </c>
      <c r="F18" s="3">
        <v>3.5</v>
      </c>
      <c r="G18" s="2">
        <v>0.15</v>
      </c>
      <c r="H18" s="3">
        <f t="shared" si="0"/>
        <v>4.0250000000000004</v>
      </c>
      <c r="I18">
        <v>240</v>
      </c>
      <c r="J18" s="4">
        <f t="shared" si="1"/>
        <v>0.26833333333333337</v>
      </c>
      <c r="K18" s="1">
        <f t="shared" si="2"/>
        <v>1</v>
      </c>
      <c r="L18" t="s">
        <v>17</v>
      </c>
      <c r="M18" s="4">
        <f t="shared" si="3"/>
        <v>1</v>
      </c>
      <c r="N18" s="6"/>
    </row>
    <row r="19" spans="2:14" x14ac:dyDescent="0.25">
      <c r="B19" t="s">
        <v>8</v>
      </c>
      <c r="C19" t="s">
        <v>9</v>
      </c>
      <c r="D19" t="s">
        <v>9</v>
      </c>
      <c r="E19" t="s">
        <v>35</v>
      </c>
      <c r="F19" s="3">
        <v>3.5</v>
      </c>
      <c r="G19" s="2">
        <v>0.15</v>
      </c>
      <c r="H19" s="3">
        <f t="shared" si="0"/>
        <v>4.0250000000000004</v>
      </c>
      <c r="I19">
        <v>240</v>
      </c>
      <c r="J19" s="4">
        <f t="shared" si="1"/>
        <v>0.26833333333333337</v>
      </c>
      <c r="K19" s="1">
        <f t="shared" si="2"/>
        <v>1</v>
      </c>
      <c r="L19" t="s">
        <v>17</v>
      </c>
      <c r="M19" s="4">
        <f t="shared" si="3"/>
        <v>1</v>
      </c>
      <c r="N19" s="6"/>
    </row>
    <row r="20" spans="2:14" x14ac:dyDescent="0.25">
      <c r="B20" t="s">
        <v>8</v>
      </c>
      <c r="C20" t="s">
        <v>9</v>
      </c>
      <c r="D20" t="s">
        <v>9</v>
      </c>
      <c r="E20" t="s">
        <v>36</v>
      </c>
      <c r="F20" s="3">
        <v>3.0514999999999999</v>
      </c>
      <c r="G20" s="2">
        <v>0.15</v>
      </c>
      <c r="H20" s="3">
        <f t="shared" si="0"/>
        <v>3.5092249999999998</v>
      </c>
      <c r="I20">
        <v>240</v>
      </c>
      <c r="J20" s="4">
        <f t="shared" si="1"/>
        <v>0.23394833333333331</v>
      </c>
      <c r="K20" s="1">
        <f t="shared" si="2"/>
        <v>1</v>
      </c>
      <c r="L20" t="s">
        <v>18</v>
      </c>
      <c r="M20" s="4">
        <f t="shared" si="3"/>
        <v>1</v>
      </c>
      <c r="N20" s="6"/>
    </row>
    <row r="21" spans="2:14" x14ac:dyDescent="0.25">
      <c r="B21" t="s">
        <v>8</v>
      </c>
      <c r="C21" t="s">
        <v>9</v>
      </c>
      <c r="D21" t="s">
        <v>9</v>
      </c>
      <c r="E21" t="s">
        <v>10</v>
      </c>
      <c r="F21" s="3">
        <v>2.2806666666666668</v>
      </c>
      <c r="G21" s="2">
        <v>0.15</v>
      </c>
      <c r="H21" s="3">
        <f t="shared" si="0"/>
        <v>2.6227666666666667</v>
      </c>
      <c r="I21">
        <v>240</v>
      </c>
      <c r="J21" s="4">
        <f t="shared" si="1"/>
        <v>0.17485111111111112</v>
      </c>
      <c r="K21" s="1">
        <f t="shared" si="2"/>
        <v>1</v>
      </c>
      <c r="L21" t="s">
        <v>18</v>
      </c>
      <c r="M21" s="4">
        <f t="shared" si="3"/>
        <v>1</v>
      </c>
      <c r="N21" s="6"/>
    </row>
    <row r="22" spans="2:14" x14ac:dyDescent="0.25">
      <c r="B22" t="s">
        <v>8</v>
      </c>
      <c r="C22" t="s">
        <v>9</v>
      </c>
      <c r="D22" t="s">
        <v>9</v>
      </c>
      <c r="E22" t="s">
        <v>37</v>
      </c>
      <c r="F22" s="3">
        <v>6.5</v>
      </c>
      <c r="G22" s="2">
        <v>0.15</v>
      </c>
      <c r="H22" s="3">
        <f t="shared" si="0"/>
        <v>7.4749999999999996</v>
      </c>
      <c r="I22">
        <v>240</v>
      </c>
      <c r="J22" s="4">
        <f t="shared" si="1"/>
        <v>0.49833333333333329</v>
      </c>
      <c r="K22" s="1">
        <f t="shared" si="2"/>
        <v>1</v>
      </c>
      <c r="L22" t="s">
        <v>19</v>
      </c>
      <c r="M22" s="4">
        <f t="shared" si="3"/>
        <v>1</v>
      </c>
      <c r="N22" s="6"/>
    </row>
    <row r="23" spans="2:14" x14ac:dyDescent="0.25">
      <c r="B23" t="s">
        <v>8</v>
      </c>
      <c r="C23" t="s">
        <v>9</v>
      </c>
      <c r="D23" t="s">
        <v>9</v>
      </c>
      <c r="E23" t="s">
        <v>38</v>
      </c>
      <c r="F23" s="3">
        <v>4.5</v>
      </c>
      <c r="G23" s="2">
        <v>0.15</v>
      </c>
      <c r="H23" s="3">
        <f t="shared" si="0"/>
        <v>5.1749999999999998</v>
      </c>
      <c r="I23">
        <v>240</v>
      </c>
      <c r="J23" s="4">
        <f t="shared" si="1"/>
        <v>0.34499999999999997</v>
      </c>
      <c r="K23" s="1">
        <f t="shared" si="2"/>
        <v>1</v>
      </c>
      <c r="L23" t="s">
        <v>19</v>
      </c>
      <c r="M23" s="4">
        <f t="shared" si="3"/>
        <v>1</v>
      </c>
      <c r="N23" s="6"/>
    </row>
    <row r="24" spans="2:14" x14ac:dyDescent="0.25">
      <c r="B24" t="s">
        <v>8</v>
      </c>
      <c r="C24" t="s">
        <v>9</v>
      </c>
      <c r="D24" t="s">
        <v>9</v>
      </c>
      <c r="E24" t="s">
        <v>39</v>
      </c>
      <c r="F24" s="3">
        <v>8.5</v>
      </c>
      <c r="G24" s="2">
        <v>0.15</v>
      </c>
      <c r="H24" s="3">
        <f t="shared" si="0"/>
        <v>9.7750000000000004</v>
      </c>
      <c r="I24">
        <v>240</v>
      </c>
      <c r="J24" s="4">
        <f t="shared" si="1"/>
        <v>0.65166666666666673</v>
      </c>
      <c r="K24" s="1">
        <f t="shared" si="2"/>
        <v>1</v>
      </c>
      <c r="L24" t="s">
        <v>19</v>
      </c>
      <c r="M24" s="4">
        <f t="shared" si="3"/>
        <v>1</v>
      </c>
      <c r="N24" s="6"/>
    </row>
    <row r="25" spans="2:14" x14ac:dyDescent="0.25">
      <c r="B25" t="s">
        <v>8</v>
      </c>
      <c r="C25" t="s">
        <v>9</v>
      </c>
      <c r="D25" t="s">
        <v>9</v>
      </c>
      <c r="E25" t="s">
        <v>40</v>
      </c>
      <c r="F25" s="3">
        <v>12</v>
      </c>
      <c r="G25" s="2">
        <v>0.15</v>
      </c>
      <c r="H25" s="3">
        <f t="shared" si="0"/>
        <v>13.8</v>
      </c>
      <c r="I25">
        <v>240</v>
      </c>
      <c r="J25" s="4">
        <f t="shared" si="1"/>
        <v>0.92</v>
      </c>
      <c r="K25" s="1">
        <f t="shared" si="2"/>
        <v>1</v>
      </c>
      <c r="L25" t="s">
        <v>19</v>
      </c>
      <c r="M25" s="4">
        <f t="shared" si="3"/>
        <v>1</v>
      </c>
      <c r="N25" s="6"/>
    </row>
    <row r="26" spans="2:14" x14ac:dyDescent="0.25">
      <c r="B26" t="s">
        <v>8</v>
      </c>
      <c r="C26" t="s">
        <v>9</v>
      </c>
      <c r="D26" t="s">
        <v>119</v>
      </c>
      <c r="E26" t="s">
        <v>41</v>
      </c>
      <c r="F26" s="3">
        <v>3.5</v>
      </c>
      <c r="G26" s="2">
        <v>0.15</v>
      </c>
      <c r="H26" s="3">
        <f t="shared" ref="H26:H32" si="4">+F26+(F26*G26)</f>
        <v>4.0250000000000004</v>
      </c>
      <c r="I26">
        <v>240</v>
      </c>
      <c r="J26" s="4">
        <f t="shared" ref="J26:J32" si="5">+H26/(3600/I26)</f>
        <v>0.26833333333333337</v>
      </c>
      <c r="K26" s="1">
        <f t="shared" si="2"/>
        <v>1</v>
      </c>
      <c r="L26" t="s">
        <v>48</v>
      </c>
      <c r="M26" s="4">
        <f t="shared" si="3"/>
        <v>1</v>
      </c>
      <c r="N26" s="6"/>
    </row>
    <row r="27" spans="2:14" x14ac:dyDescent="0.25">
      <c r="B27" t="s">
        <v>8</v>
      </c>
      <c r="C27" t="s">
        <v>9</v>
      </c>
      <c r="D27" t="s">
        <v>119</v>
      </c>
      <c r="E27" t="s">
        <v>42</v>
      </c>
      <c r="F27" s="3">
        <v>5</v>
      </c>
      <c r="G27" s="2">
        <v>0.15</v>
      </c>
      <c r="H27" s="3">
        <f t="shared" si="4"/>
        <v>5.75</v>
      </c>
      <c r="I27">
        <v>240</v>
      </c>
      <c r="J27" s="4">
        <f t="shared" si="5"/>
        <v>0.38333333333333336</v>
      </c>
      <c r="K27" s="1">
        <f t="shared" si="2"/>
        <v>1</v>
      </c>
      <c r="L27" t="s">
        <v>48</v>
      </c>
      <c r="M27" s="4">
        <f t="shared" si="3"/>
        <v>1</v>
      </c>
      <c r="N27" s="6"/>
    </row>
    <row r="28" spans="2:14" x14ac:dyDescent="0.25">
      <c r="B28" t="s">
        <v>8</v>
      </c>
      <c r="C28" t="s">
        <v>9</v>
      </c>
      <c r="D28" t="s">
        <v>119</v>
      </c>
      <c r="E28" t="s">
        <v>43</v>
      </c>
      <c r="F28" s="3">
        <v>6.5</v>
      </c>
      <c r="G28" s="2">
        <v>0.15</v>
      </c>
      <c r="H28" s="3">
        <f t="shared" si="4"/>
        <v>7.4749999999999996</v>
      </c>
      <c r="I28">
        <v>240</v>
      </c>
      <c r="J28" s="4">
        <f t="shared" si="5"/>
        <v>0.49833333333333329</v>
      </c>
      <c r="K28" s="1">
        <f t="shared" si="2"/>
        <v>1</v>
      </c>
      <c r="L28" t="s">
        <v>48</v>
      </c>
      <c r="M28" s="4">
        <f t="shared" si="3"/>
        <v>1</v>
      </c>
      <c r="N28" s="6"/>
    </row>
    <row r="29" spans="2:14" x14ac:dyDescent="0.25">
      <c r="B29" t="s">
        <v>8</v>
      </c>
      <c r="C29" t="s">
        <v>9</v>
      </c>
      <c r="D29" t="s">
        <v>119</v>
      </c>
      <c r="E29" t="s">
        <v>44</v>
      </c>
      <c r="F29" s="3">
        <v>3</v>
      </c>
      <c r="G29" s="2">
        <v>0.15</v>
      </c>
      <c r="H29" s="3">
        <f t="shared" si="4"/>
        <v>3.45</v>
      </c>
      <c r="I29">
        <v>240</v>
      </c>
      <c r="J29" s="4">
        <f t="shared" si="5"/>
        <v>0.23</v>
      </c>
      <c r="K29" s="1">
        <f t="shared" si="2"/>
        <v>1</v>
      </c>
      <c r="L29" t="s">
        <v>49</v>
      </c>
      <c r="M29" s="4">
        <f t="shared" si="3"/>
        <v>1</v>
      </c>
      <c r="N29" s="6"/>
    </row>
    <row r="30" spans="2:14" x14ac:dyDescent="0.25">
      <c r="B30" t="s">
        <v>8</v>
      </c>
      <c r="C30" t="s">
        <v>9</v>
      </c>
      <c r="D30" t="s">
        <v>119</v>
      </c>
      <c r="E30" t="s">
        <v>45</v>
      </c>
      <c r="F30" s="3">
        <v>9</v>
      </c>
      <c r="G30" s="2">
        <v>0.15</v>
      </c>
      <c r="H30" s="3">
        <f t="shared" si="4"/>
        <v>10.35</v>
      </c>
      <c r="I30">
        <v>240</v>
      </c>
      <c r="J30" s="4">
        <f t="shared" si="5"/>
        <v>0.69</v>
      </c>
      <c r="K30" s="1">
        <f t="shared" si="2"/>
        <v>1</v>
      </c>
      <c r="L30" t="s">
        <v>50</v>
      </c>
      <c r="M30" s="4">
        <f t="shared" si="3"/>
        <v>1</v>
      </c>
      <c r="N30" s="6"/>
    </row>
    <row r="31" spans="2:14" x14ac:dyDescent="0.25">
      <c r="B31" t="s">
        <v>8</v>
      </c>
      <c r="C31" t="s">
        <v>9</v>
      </c>
      <c r="D31" t="s">
        <v>119</v>
      </c>
      <c r="E31" t="s">
        <v>46</v>
      </c>
      <c r="F31" s="3">
        <v>13</v>
      </c>
      <c r="G31" s="2">
        <v>0.15</v>
      </c>
      <c r="H31" s="3">
        <f t="shared" si="4"/>
        <v>14.95</v>
      </c>
      <c r="I31">
        <v>240</v>
      </c>
      <c r="J31" s="4">
        <f t="shared" si="5"/>
        <v>0.99666666666666659</v>
      </c>
      <c r="K31" s="1">
        <f t="shared" si="2"/>
        <v>1</v>
      </c>
      <c r="L31" t="s">
        <v>50</v>
      </c>
      <c r="M31" s="4">
        <f t="shared" si="3"/>
        <v>1</v>
      </c>
      <c r="N31" s="6"/>
    </row>
    <row r="32" spans="2:14" x14ac:dyDescent="0.25">
      <c r="B32" t="s">
        <v>8</v>
      </c>
      <c r="C32" t="s">
        <v>9</v>
      </c>
      <c r="D32" t="s">
        <v>119</v>
      </c>
      <c r="E32" t="s">
        <v>47</v>
      </c>
      <c r="F32" s="3">
        <v>21.5</v>
      </c>
      <c r="G32" s="2">
        <v>0.15</v>
      </c>
      <c r="H32" s="3">
        <f t="shared" si="4"/>
        <v>24.725000000000001</v>
      </c>
      <c r="I32">
        <v>240</v>
      </c>
      <c r="J32" s="4">
        <f t="shared" si="5"/>
        <v>1.6483333333333334</v>
      </c>
      <c r="K32" s="1">
        <f t="shared" si="2"/>
        <v>2</v>
      </c>
      <c r="L32" t="s">
        <v>51</v>
      </c>
      <c r="M32" s="4">
        <f t="shared" si="3"/>
        <v>2</v>
      </c>
      <c r="N32" s="6"/>
    </row>
    <row r="33" spans="2:14" x14ac:dyDescent="0.25">
      <c r="B33" t="s">
        <v>8</v>
      </c>
      <c r="C33" t="s">
        <v>55</v>
      </c>
      <c r="D33" t="s">
        <v>120</v>
      </c>
      <c r="E33" t="s">
        <v>52</v>
      </c>
      <c r="F33" s="3">
        <v>29.9</v>
      </c>
      <c r="G33" s="2">
        <v>0.15</v>
      </c>
      <c r="H33" s="3">
        <f t="shared" ref="H33:H35" si="6">+F33+(F33*G33)</f>
        <v>34.384999999999998</v>
      </c>
      <c r="I33">
        <v>240</v>
      </c>
      <c r="J33" s="4">
        <f t="shared" ref="J33:J35" si="7">+H33/(3600/I33)</f>
        <v>2.2923333333333331</v>
      </c>
      <c r="K33" s="1">
        <f>IF(SUM(J33:J33)=0,"NA",IF(SUM(J33:J33)&lt;1,1,IF(MOD(SUM(J33:J33),1)&gt;=0.5,ROUNDUP(SUM(J33:J33),0),ROUNDDOWN(SUM(J33:J33),0))))</f>
        <v>2</v>
      </c>
      <c r="L33" t="s">
        <v>19</v>
      </c>
      <c r="M33" s="4">
        <f t="shared" si="3"/>
        <v>2</v>
      </c>
      <c r="N33" s="6"/>
    </row>
    <row r="34" spans="2:14" x14ac:dyDescent="0.25">
      <c r="B34" t="s">
        <v>8</v>
      </c>
      <c r="C34" t="s">
        <v>55</v>
      </c>
      <c r="D34" t="s">
        <v>120</v>
      </c>
      <c r="E34" t="s">
        <v>53</v>
      </c>
      <c r="F34" s="3">
        <v>20.7</v>
      </c>
      <c r="G34" s="2">
        <v>0.15</v>
      </c>
      <c r="H34" s="3">
        <f t="shared" si="6"/>
        <v>23.805</v>
      </c>
      <c r="I34">
        <v>240</v>
      </c>
      <c r="J34" s="4">
        <f t="shared" si="7"/>
        <v>1.587</v>
      </c>
      <c r="K34" s="1">
        <f>IF(SUM(J34:J34)=0,"NA",IF(SUM(J34:J34)&lt;1,1,IF(MOD(SUM(J34:J34),1)&gt;=0.5,ROUNDUP(SUM(J34:J34),0),ROUNDDOWN(SUM(J34:J34),0))))</f>
        <v>2</v>
      </c>
      <c r="L34" t="s">
        <v>19</v>
      </c>
      <c r="M34" s="4">
        <f t="shared" si="3"/>
        <v>2</v>
      </c>
      <c r="N34" s="6"/>
    </row>
    <row r="35" spans="2:14" x14ac:dyDescent="0.25">
      <c r="B35" t="s">
        <v>8</v>
      </c>
      <c r="C35" t="s">
        <v>55</v>
      </c>
      <c r="D35" t="s">
        <v>120</v>
      </c>
      <c r="E35" t="s">
        <v>54</v>
      </c>
      <c r="F35" s="3">
        <v>20.7</v>
      </c>
      <c r="G35" s="2">
        <v>0.15</v>
      </c>
      <c r="H35" s="3">
        <f t="shared" si="6"/>
        <v>23.805</v>
      </c>
      <c r="I35">
        <v>240</v>
      </c>
      <c r="J35" s="4">
        <f t="shared" si="7"/>
        <v>1.587</v>
      </c>
      <c r="K35" s="1">
        <f>IF(SUM(J35:J35)=0,"NA",IF(SUM(J35:J35)&lt;1,1,IF(MOD(SUM(J35:J35),1)&gt;=0.5,ROUNDUP(SUM(J35:J35),0),ROUNDDOWN(SUM(J35:J35),0))))</f>
        <v>2</v>
      </c>
      <c r="L35" t="s">
        <v>56</v>
      </c>
      <c r="M35" s="4">
        <f t="shared" si="3"/>
        <v>2</v>
      </c>
      <c r="N35" s="6"/>
    </row>
    <row r="36" spans="2:14" x14ac:dyDescent="0.25">
      <c r="B36" t="s">
        <v>8</v>
      </c>
      <c r="C36" t="s">
        <v>55</v>
      </c>
      <c r="D36" t="s">
        <v>120</v>
      </c>
      <c r="E36" t="s">
        <v>57</v>
      </c>
      <c r="F36" s="3">
        <v>32</v>
      </c>
      <c r="G36" s="2">
        <v>0.15</v>
      </c>
      <c r="H36" s="3">
        <f t="shared" ref="H36:H46" si="8">+F36+(F36*G36)</f>
        <v>36.799999999999997</v>
      </c>
      <c r="I36">
        <v>240</v>
      </c>
      <c r="J36" s="4">
        <f t="shared" ref="J36:J45" si="9">+H36/(3600/I36)</f>
        <v>2.4533333333333331</v>
      </c>
      <c r="K36" s="1">
        <f t="shared" ref="K36:K99" si="10">IF(SUM(J36:J36)=0,"NA",IF(SUM(J36:J36)&lt;1,1,IF(MOD(SUM(J36:J36),1)&gt;=0.5,ROUNDUP(SUM(J36:J36),0),ROUNDDOWN(SUM(J36:J36),0))))</f>
        <v>2</v>
      </c>
      <c r="L36" t="s">
        <v>80</v>
      </c>
      <c r="M36" s="4">
        <f t="shared" si="3"/>
        <v>2</v>
      </c>
      <c r="N36" s="9"/>
    </row>
    <row r="37" spans="2:14" x14ac:dyDescent="0.25">
      <c r="B37" t="s">
        <v>8</v>
      </c>
      <c r="C37" t="s">
        <v>55</v>
      </c>
      <c r="D37" t="s">
        <v>120</v>
      </c>
      <c r="E37" t="s">
        <v>58</v>
      </c>
      <c r="F37" s="3">
        <v>32</v>
      </c>
      <c r="G37" s="2">
        <v>0.15</v>
      </c>
      <c r="H37" s="3">
        <f t="shared" si="8"/>
        <v>36.799999999999997</v>
      </c>
      <c r="I37">
        <v>240</v>
      </c>
      <c r="J37" s="4">
        <f t="shared" si="9"/>
        <v>2.4533333333333331</v>
      </c>
      <c r="K37" s="1">
        <f t="shared" si="10"/>
        <v>2</v>
      </c>
      <c r="L37" t="s">
        <v>80</v>
      </c>
      <c r="M37" s="4">
        <f t="shared" si="3"/>
        <v>2</v>
      </c>
      <c r="N37" s="9"/>
    </row>
    <row r="38" spans="2:14" x14ac:dyDescent="0.25">
      <c r="B38" t="s">
        <v>8</v>
      </c>
      <c r="C38" t="s">
        <v>55</v>
      </c>
      <c r="D38" t="s">
        <v>120</v>
      </c>
      <c r="E38" t="s">
        <v>59</v>
      </c>
      <c r="F38" s="3">
        <v>34</v>
      </c>
      <c r="G38" s="2">
        <v>0.15</v>
      </c>
      <c r="H38" s="3">
        <f t="shared" si="8"/>
        <v>39.1</v>
      </c>
      <c r="I38">
        <v>240</v>
      </c>
      <c r="J38" s="4">
        <f t="shared" si="9"/>
        <v>2.6066666666666669</v>
      </c>
      <c r="K38" s="1">
        <f t="shared" si="10"/>
        <v>3</v>
      </c>
      <c r="L38" t="s">
        <v>81</v>
      </c>
      <c r="M38" s="4">
        <f t="shared" si="3"/>
        <v>3</v>
      </c>
      <c r="N38" s="9"/>
    </row>
    <row r="39" spans="2:14" x14ac:dyDescent="0.25">
      <c r="B39" t="s">
        <v>8</v>
      </c>
      <c r="C39" t="s">
        <v>55</v>
      </c>
      <c r="D39" t="s">
        <v>120</v>
      </c>
      <c r="E39" t="s">
        <v>60</v>
      </c>
      <c r="F39" s="3">
        <v>42</v>
      </c>
      <c r="G39" s="2">
        <v>0.15</v>
      </c>
      <c r="H39" s="3">
        <f t="shared" si="8"/>
        <v>48.3</v>
      </c>
      <c r="I39">
        <v>240</v>
      </c>
      <c r="J39" s="4">
        <f t="shared" si="9"/>
        <v>3.2199999999999998</v>
      </c>
      <c r="K39" s="1">
        <f t="shared" si="10"/>
        <v>3</v>
      </c>
      <c r="L39" t="s">
        <v>81</v>
      </c>
      <c r="M39" s="4">
        <f t="shared" si="3"/>
        <v>3</v>
      </c>
      <c r="N39" s="9"/>
    </row>
    <row r="40" spans="2:14" x14ac:dyDescent="0.25">
      <c r="B40" t="s">
        <v>8</v>
      </c>
      <c r="C40" t="s">
        <v>55</v>
      </c>
      <c r="D40" t="s">
        <v>120</v>
      </c>
      <c r="E40" t="s">
        <v>61</v>
      </c>
      <c r="F40" s="3">
        <v>40</v>
      </c>
      <c r="G40" s="2">
        <v>0.15</v>
      </c>
      <c r="H40" s="3">
        <f t="shared" si="8"/>
        <v>46</v>
      </c>
      <c r="I40">
        <v>240</v>
      </c>
      <c r="J40" s="4">
        <f t="shared" si="9"/>
        <v>3.0666666666666669</v>
      </c>
      <c r="K40" s="1">
        <f t="shared" si="10"/>
        <v>3</v>
      </c>
      <c r="L40" t="s">
        <v>81</v>
      </c>
      <c r="M40" s="4">
        <f t="shared" si="3"/>
        <v>3</v>
      </c>
      <c r="N40" s="9"/>
    </row>
    <row r="41" spans="2:14" x14ac:dyDescent="0.25">
      <c r="B41" t="s">
        <v>8</v>
      </c>
      <c r="C41" t="s">
        <v>55</v>
      </c>
      <c r="D41" t="s">
        <v>120</v>
      </c>
      <c r="E41" t="s">
        <v>62</v>
      </c>
      <c r="F41" s="3">
        <v>32</v>
      </c>
      <c r="G41" s="2">
        <v>0.15</v>
      </c>
      <c r="H41" s="3">
        <f t="shared" si="8"/>
        <v>36.799999999999997</v>
      </c>
      <c r="I41">
        <v>240</v>
      </c>
      <c r="J41" s="4">
        <f t="shared" si="9"/>
        <v>2.4533333333333331</v>
      </c>
      <c r="K41" s="1">
        <f t="shared" si="10"/>
        <v>2</v>
      </c>
      <c r="L41" t="s">
        <v>81</v>
      </c>
      <c r="M41" s="4">
        <f t="shared" si="3"/>
        <v>2</v>
      </c>
      <c r="N41" s="9"/>
    </row>
    <row r="42" spans="2:14" x14ac:dyDescent="0.25">
      <c r="B42" t="s">
        <v>8</v>
      </c>
      <c r="C42" t="s">
        <v>55</v>
      </c>
      <c r="D42" t="s">
        <v>120</v>
      </c>
      <c r="E42" t="s">
        <v>63</v>
      </c>
      <c r="F42" s="3">
        <v>19.7</v>
      </c>
      <c r="G42" s="2">
        <v>0.15</v>
      </c>
      <c r="H42" s="3">
        <f t="shared" si="8"/>
        <v>22.654999999999998</v>
      </c>
      <c r="I42">
        <v>240</v>
      </c>
      <c r="J42" s="4">
        <f t="shared" si="9"/>
        <v>1.5103333333333331</v>
      </c>
      <c r="K42" s="1">
        <f t="shared" si="10"/>
        <v>2</v>
      </c>
      <c r="L42" t="s">
        <v>81</v>
      </c>
      <c r="M42" s="4">
        <f t="shared" si="3"/>
        <v>2</v>
      </c>
      <c r="N42" s="9"/>
    </row>
    <row r="43" spans="2:14" x14ac:dyDescent="0.25">
      <c r="B43" t="s">
        <v>8</v>
      </c>
      <c r="C43" t="s">
        <v>55</v>
      </c>
      <c r="D43" t="s">
        <v>120</v>
      </c>
      <c r="E43" t="s">
        <v>64</v>
      </c>
      <c r="F43" s="3">
        <v>41</v>
      </c>
      <c r="G43" s="2">
        <v>0.15</v>
      </c>
      <c r="H43" s="3">
        <f t="shared" si="8"/>
        <v>47.15</v>
      </c>
      <c r="I43">
        <v>240</v>
      </c>
      <c r="J43" s="4">
        <f t="shared" si="9"/>
        <v>3.1433333333333331</v>
      </c>
      <c r="K43" s="1">
        <f t="shared" si="10"/>
        <v>3</v>
      </c>
      <c r="L43" t="s">
        <v>81</v>
      </c>
      <c r="M43" s="4">
        <f t="shared" si="3"/>
        <v>3</v>
      </c>
      <c r="N43" s="9"/>
    </row>
    <row r="44" spans="2:14" x14ac:dyDescent="0.25">
      <c r="B44" t="s">
        <v>8</v>
      </c>
      <c r="C44" t="s">
        <v>55</v>
      </c>
      <c r="D44" t="s">
        <v>120</v>
      </c>
      <c r="E44" t="s">
        <v>65</v>
      </c>
      <c r="F44" s="3">
        <v>30</v>
      </c>
      <c r="G44" s="2">
        <v>0.15</v>
      </c>
      <c r="H44" s="3">
        <f t="shared" si="8"/>
        <v>34.5</v>
      </c>
      <c r="I44">
        <v>240</v>
      </c>
      <c r="J44" s="4">
        <f t="shared" si="9"/>
        <v>2.2999999999999998</v>
      </c>
      <c r="K44" s="1">
        <f t="shared" si="10"/>
        <v>2</v>
      </c>
      <c r="L44" t="s">
        <v>81</v>
      </c>
      <c r="M44" s="4">
        <f t="shared" si="3"/>
        <v>2</v>
      </c>
      <c r="N44" s="9"/>
    </row>
    <row r="45" spans="2:14" x14ac:dyDescent="0.25">
      <c r="B45" t="s">
        <v>8</v>
      </c>
      <c r="C45" t="s">
        <v>55</v>
      </c>
      <c r="D45" t="s">
        <v>120</v>
      </c>
      <c r="E45" t="s">
        <v>66</v>
      </c>
      <c r="F45" s="3">
        <v>12</v>
      </c>
      <c r="G45" s="2">
        <v>0.15</v>
      </c>
      <c r="H45" s="3">
        <f t="shared" si="8"/>
        <v>13.8</v>
      </c>
      <c r="I45">
        <v>240</v>
      </c>
      <c r="J45" s="4">
        <f t="shared" si="9"/>
        <v>0.92</v>
      </c>
      <c r="K45" s="1">
        <f t="shared" si="10"/>
        <v>1</v>
      </c>
      <c r="L45" t="s">
        <v>81</v>
      </c>
      <c r="M45" s="4">
        <f t="shared" si="3"/>
        <v>1</v>
      </c>
      <c r="N45" s="9"/>
    </row>
    <row r="46" spans="2:14" x14ac:dyDescent="0.25">
      <c r="B46" t="s">
        <v>8</v>
      </c>
      <c r="C46" t="s">
        <v>55</v>
      </c>
      <c r="D46" t="s">
        <v>120</v>
      </c>
      <c r="E46" t="s">
        <v>67</v>
      </c>
      <c r="F46" s="3">
        <v>58.5</v>
      </c>
      <c r="G46" s="2">
        <v>0.15</v>
      </c>
      <c r="H46" s="3">
        <f t="shared" si="8"/>
        <v>67.275000000000006</v>
      </c>
      <c r="I46">
        <v>240</v>
      </c>
      <c r="J46" s="4">
        <f>+H46/(3600/I46)</f>
        <v>4.4850000000000003</v>
      </c>
      <c r="K46" s="1">
        <f t="shared" si="10"/>
        <v>4</v>
      </c>
      <c r="L46" t="s">
        <v>82</v>
      </c>
      <c r="M46" s="4">
        <f t="shared" si="3"/>
        <v>4</v>
      </c>
      <c r="N46" s="9"/>
    </row>
    <row r="47" spans="2:14" x14ac:dyDescent="0.25">
      <c r="B47" t="s">
        <v>8</v>
      </c>
      <c r="C47" t="s">
        <v>55</v>
      </c>
      <c r="D47" t="s">
        <v>121</v>
      </c>
      <c r="E47" t="s">
        <v>68</v>
      </c>
      <c r="F47" s="3">
        <v>12</v>
      </c>
      <c r="G47" s="2">
        <v>0.15</v>
      </c>
      <c r="H47" s="3">
        <f t="shared" ref="H47:H49" si="11">+F47+(F47*G47)</f>
        <v>13.8</v>
      </c>
      <c r="I47">
        <v>240</v>
      </c>
      <c r="J47" s="4">
        <f t="shared" ref="J47:J49" si="12">+H47/(3600/I47)</f>
        <v>0.92</v>
      </c>
      <c r="K47" s="1">
        <f t="shared" si="10"/>
        <v>1</v>
      </c>
      <c r="L47" t="s">
        <v>81</v>
      </c>
      <c r="M47" s="4">
        <f t="shared" si="3"/>
        <v>1</v>
      </c>
      <c r="N47" s="9"/>
    </row>
    <row r="48" spans="2:14" x14ac:dyDescent="0.25">
      <c r="B48" t="s">
        <v>8</v>
      </c>
      <c r="C48" t="s">
        <v>55</v>
      </c>
      <c r="D48" t="s">
        <v>121</v>
      </c>
      <c r="E48" t="s">
        <v>69</v>
      </c>
      <c r="F48" s="3">
        <v>36</v>
      </c>
      <c r="G48" s="2">
        <v>0.15</v>
      </c>
      <c r="H48" s="3">
        <f t="shared" si="11"/>
        <v>41.4</v>
      </c>
      <c r="I48">
        <v>240</v>
      </c>
      <c r="J48" s="4">
        <f t="shared" si="12"/>
        <v>2.76</v>
      </c>
      <c r="K48" s="1">
        <f t="shared" si="10"/>
        <v>3</v>
      </c>
      <c r="L48" t="s">
        <v>81</v>
      </c>
      <c r="M48" s="4">
        <f t="shared" si="3"/>
        <v>3</v>
      </c>
      <c r="N48" s="9"/>
    </row>
    <row r="49" spans="2:14" x14ac:dyDescent="0.25">
      <c r="B49" t="s">
        <v>8</v>
      </c>
      <c r="C49" t="s">
        <v>55</v>
      </c>
      <c r="D49" t="s">
        <v>121</v>
      </c>
      <c r="E49" s="7" t="s">
        <v>70</v>
      </c>
      <c r="F49" s="3">
        <v>16</v>
      </c>
      <c r="G49" s="2">
        <v>0.15</v>
      </c>
      <c r="H49" s="3">
        <f t="shared" si="11"/>
        <v>18.399999999999999</v>
      </c>
      <c r="I49">
        <v>240</v>
      </c>
      <c r="J49" s="4">
        <f t="shared" si="12"/>
        <v>1.2266666666666666</v>
      </c>
      <c r="K49" s="1">
        <f t="shared" si="10"/>
        <v>1</v>
      </c>
      <c r="L49" t="s">
        <v>83</v>
      </c>
      <c r="M49" s="4">
        <f t="shared" si="3"/>
        <v>1</v>
      </c>
      <c r="N49" s="9"/>
    </row>
    <row r="50" spans="2:14" x14ac:dyDescent="0.25">
      <c r="B50" t="s">
        <v>8</v>
      </c>
      <c r="C50" t="s">
        <v>55</v>
      </c>
      <c r="D50" t="s">
        <v>122</v>
      </c>
      <c r="E50" s="7" t="s">
        <v>71</v>
      </c>
      <c r="F50" s="3">
        <v>22</v>
      </c>
      <c r="G50" s="2">
        <v>0.15</v>
      </c>
      <c r="H50" s="3">
        <f t="shared" ref="H50:H53" si="13">+F50+(F50*G50)</f>
        <v>25.3</v>
      </c>
      <c r="I50">
        <v>240</v>
      </c>
      <c r="J50" s="4">
        <f t="shared" ref="J50:J53" si="14">+H50/(3600/I50)</f>
        <v>1.6866666666666668</v>
      </c>
      <c r="K50" s="1">
        <f t="shared" si="10"/>
        <v>2</v>
      </c>
      <c r="L50" t="s">
        <v>81</v>
      </c>
      <c r="M50" s="4">
        <f t="shared" si="3"/>
        <v>2</v>
      </c>
      <c r="N50" s="9"/>
    </row>
    <row r="51" spans="2:14" x14ac:dyDescent="0.25">
      <c r="B51" t="s">
        <v>8</v>
      </c>
      <c r="C51" t="s">
        <v>55</v>
      </c>
      <c r="D51" t="s">
        <v>122</v>
      </c>
      <c r="E51" s="7" t="s">
        <v>72</v>
      </c>
      <c r="F51" s="3">
        <v>24</v>
      </c>
      <c r="G51" s="2">
        <v>0.15</v>
      </c>
      <c r="H51" s="3">
        <f t="shared" si="13"/>
        <v>27.6</v>
      </c>
      <c r="I51">
        <v>240</v>
      </c>
      <c r="J51" s="4">
        <f t="shared" si="14"/>
        <v>1.84</v>
      </c>
      <c r="K51" s="1">
        <f t="shared" si="10"/>
        <v>2</v>
      </c>
      <c r="L51" t="s">
        <v>81</v>
      </c>
      <c r="M51" s="4">
        <f t="shared" si="3"/>
        <v>2</v>
      </c>
      <c r="N51" s="9"/>
    </row>
    <row r="52" spans="2:14" x14ac:dyDescent="0.25">
      <c r="B52" t="s">
        <v>8</v>
      </c>
      <c r="C52" t="s">
        <v>55</v>
      </c>
      <c r="D52" t="s">
        <v>122</v>
      </c>
      <c r="E52" s="7" t="s">
        <v>73</v>
      </c>
      <c r="F52" s="3">
        <v>24.5</v>
      </c>
      <c r="G52" s="2">
        <v>0.15</v>
      </c>
      <c r="H52" s="3">
        <f t="shared" si="13"/>
        <v>28.175000000000001</v>
      </c>
      <c r="I52">
        <v>240</v>
      </c>
      <c r="J52" s="4">
        <f t="shared" si="14"/>
        <v>1.8783333333333334</v>
      </c>
      <c r="K52" s="1">
        <f t="shared" si="10"/>
        <v>2</v>
      </c>
      <c r="L52" t="s">
        <v>81</v>
      </c>
      <c r="M52" s="4">
        <f t="shared" si="3"/>
        <v>2</v>
      </c>
      <c r="N52" s="9"/>
    </row>
    <row r="53" spans="2:14" x14ac:dyDescent="0.25">
      <c r="B53" t="s">
        <v>8</v>
      </c>
      <c r="C53" t="s">
        <v>55</v>
      </c>
      <c r="D53" t="s">
        <v>122</v>
      </c>
      <c r="E53" s="7" t="s">
        <v>74</v>
      </c>
      <c r="F53" s="3">
        <v>22</v>
      </c>
      <c r="G53" s="2">
        <v>0.15</v>
      </c>
      <c r="H53" s="3">
        <f t="shared" si="13"/>
        <v>25.3</v>
      </c>
      <c r="I53">
        <v>240</v>
      </c>
      <c r="J53" s="4">
        <f t="shared" si="14"/>
        <v>1.6866666666666668</v>
      </c>
      <c r="K53" s="1">
        <f t="shared" si="10"/>
        <v>2</v>
      </c>
      <c r="L53" t="s">
        <v>82</v>
      </c>
      <c r="M53" s="4">
        <f t="shared" si="3"/>
        <v>2</v>
      </c>
      <c r="N53" s="9"/>
    </row>
    <row r="54" spans="2:14" x14ac:dyDescent="0.25">
      <c r="B54" t="s">
        <v>8</v>
      </c>
      <c r="C54" t="s">
        <v>75</v>
      </c>
      <c r="D54" t="s">
        <v>124</v>
      </c>
      <c r="E54" t="s">
        <v>76</v>
      </c>
      <c r="F54" s="3">
        <v>37.5</v>
      </c>
      <c r="G54" s="2">
        <v>0.15</v>
      </c>
      <c r="H54" s="3">
        <f t="shared" ref="H54:H57" si="15">+F54+(F54*G54)</f>
        <v>43.125</v>
      </c>
      <c r="I54">
        <v>240</v>
      </c>
      <c r="J54" s="4">
        <f t="shared" ref="J54:J57" si="16">+H54/(3600/I54)</f>
        <v>2.875</v>
      </c>
      <c r="K54" s="1">
        <f t="shared" si="10"/>
        <v>3</v>
      </c>
      <c r="L54" t="s">
        <v>84</v>
      </c>
      <c r="M54" s="4">
        <f t="shared" si="3"/>
        <v>3</v>
      </c>
      <c r="N54" s="9"/>
    </row>
    <row r="55" spans="2:14" x14ac:dyDescent="0.25">
      <c r="B55" t="s">
        <v>8</v>
      </c>
      <c r="C55" t="s">
        <v>75</v>
      </c>
      <c r="D55" t="s">
        <v>124</v>
      </c>
      <c r="E55" t="s">
        <v>77</v>
      </c>
      <c r="F55" s="3">
        <v>46</v>
      </c>
      <c r="G55" s="2">
        <v>0.15</v>
      </c>
      <c r="H55" s="3">
        <f t="shared" si="15"/>
        <v>52.9</v>
      </c>
      <c r="I55">
        <v>240</v>
      </c>
      <c r="J55" s="4">
        <f t="shared" si="16"/>
        <v>3.5266666666666664</v>
      </c>
      <c r="K55" s="1">
        <f t="shared" si="10"/>
        <v>4</v>
      </c>
      <c r="L55" t="s">
        <v>85</v>
      </c>
      <c r="M55" s="4">
        <v>1</v>
      </c>
      <c r="N55" s="9"/>
    </row>
    <row r="56" spans="2:14" x14ac:dyDescent="0.25">
      <c r="B56" t="s">
        <v>8</v>
      </c>
      <c r="C56" t="s">
        <v>75</v>
      </c>
      <c r="D56" t="s">
        <v>124</v>
      </c>
      <c r="E56" t="s">
        <v>78</v>
      </c>
      <c r="F56" s="3">
        <v>24</v>
      </c>
      <c r="G56" s="2">
        <v>0.15</v>
      </c>
      <c r="H56" s="3">
        <f t="shared" si="15"/>
        <v>27.6</v>
      </c>
      <c r="I56">
        <v>240</v>
      </c>
      <c r="J56" s="4">
        <f t="shared" si="16"/>
        <v>1.84</v>
      </c>
      <c r="K56" s="1">
        <f t="shared" si="10"/>
        <v>2</v>
      </c>
      <c r="L56" t="s">
        <v>84</v>
      </c>
      <c r="M56" s="4">
        <f t="shared" si="3"/>
        <v>2</v>
      </c>
      <c r="N56" s="9"/>
    </row>
    <row r="57" spans="2:14" x14ac:dyDescent="0.25">
      <c r="B57" t="s">
        <v>8</v>
      </c>
      <c r="C57" t="s">
        <v>75</v>
      </c>
      <c r="D57" t="s">
        <v>124</v>
      </c>
      <c r="E57" t="s">
        <v>79</v>
      </c>
      <c r="F57" s="3">
        <v>22</v>
      </c>
      <c r="G57" s="2">
        <v>0.15</v>
      </c>
      <c r="H57" s="3">
        <f t="shared" si="15"/>
        <v>25.3</v>
      </c>
      <c r="I57">
        <v>240</v>
      </c>
      <c r="J57" s="4">
        <f t="shared" si="16"/>
        <v>1.6866666666666668</v>
      </c>
      <c r="K57" s="1">
        <f t="shared" si="10"/>
        <v>2</v>
      </c>
      <c r="L57" t="s">
        <v>86</v>
      </c>
      <c r="M57" s="4">
        <f t="shared" si="3"/>
        <v>2</v>
      </c>
      <c r="N57" s="9"/>
    </row>
    <row r="58" spans="2:14" x14ac:dyDescent="0.25">
      <c r="B58" t="s">
        <v>8</v>
      </c>
      <c r="C58" t="s">
        <v>75</v>
      </c>
      <c r="D58" t="s">
        <v>124</v>
      </c>
      <c r="E58" t="s">
        <v>87</v>
      </c>
      <c r="F58" s="3">
        <v>18</v>
      </c>
      <c r="G58" s="2">
        <v>0.15</v>
      </c>
      <c r="H58" s="3">
        <f t="shared" ref="H58:H83" si="17">+F58+(F58*G58)</f>
        <v>20.7</v>
      </c>
      <c r="I58">
        <v>240</v>
      </c>
      <c r="J58" s="4">
        <f t="shared" ref="J58:J83" si="18">+H58/(3600/I58)</f>
        <v>1.38</v>
      </c>
      <c r="K58" s="1">
        <f t="shared" si="10"/>
        <v>1</v>
      </c>
      <c r="L58" t="s">
        <v>111</v>
      </c>
      <c r="M58" s="4">
        <f t="shared" si="3"/>
        <v>1</v>
      </c>
      <c r="N58" s="9"/>
    </row>
    <row r="59" spans="2:14" x14ac:dyDescent="0.25">
      <c r="B59" t="s">
        <v>8</v>
      </c>
      <c r="C59" t="s">
        <v>75</v>
      </c>
      <c r="D59" t="s">
        <v>124</v>
      </c>
      <c r="E59" t="s">
        <v>88</v>
      </c>
      <c r="F59" s="3">
        <v>16</v>
      </c>
      <c r="G59" s="2">
        <v>0.15</v>
      </c>
      <c r="H59" s="3">
        <f t="shared" si="17"/>
        <v>18.399999999999999</v>
      </c>
      <c r="I59">
        <v>240</v>
      </c>
      <c r="J59" s="4">
        <f t="shared" si="18"/>
        <v>1.2266666666666666</v>
      </c>
      <c r="K59" s="1">
        <f t="shared" si="10"/>
        <v>1</v>
      </c>
      <c r="L59" t="s">
        <v>111</v>
      </c>
      <c r="M59" s="4">
        <f t="shared" si="3"/>
        <v>1</v>
      </c>
      <c r="N59" s="9"/>
    </row>
    <row r="60" spans="2:14" x14ac:dyDescent="0.25">
      <c r="B60" t="s">
        <v>8</v>
      </c>
      <c r="C60" t="s">
        <v>75</v>
      </c>
      <c r="D60" t="s">
        <v>124</v>
      </c>
      <c r="E60" t="s">
        <v>89</v>
      </c>
      <c r="F60" s="3">
        <v>78</v>
      </c>
      <c r="G60" s="2">
        <v>0.15</v>
      </c>
      <c r="H60" s="3">
        <f t="shared" si="17"/>
        <v>89.7</v>
      </c>
      <c r="I60">
        <v>240</v>
      </c>
      <c r="J60" s="4">
        <f t="shared" si="18"/>
        <v>5.98</v>
      </c>
      <c r="K60" s="1">
        <f t="shared" si="10"/>
        <v>6</v>
      </c>
      <c r="L60" t="s">
        <v>111</v>
      </c>
      <c r="M60" s="4">
        <f t="shared" si="3"/>
        <v>6</v>
      </c>
      <c r="N60" s="9"/>
    </row>
    <row r="61" spans="2:14" x14ac:dyDescent="0.25">
      <c r="B61" t="s">
        <v>8</v>
      </c>
      <c r="C61" t="s">
        <v>75</v>
      </c>
      <c r="D61" t="s">
        <v>124</v>
      </c>
      <c r="E61" t="s">
        <v>90</v>
      </c>
      <c r="F61" s="3">
        <v>24</v>
      </c>
      <c r="G61" s="2">
        <v>0.15</v>
      </c>
      <c r="H61" s="3">
        <f t="shared" si="17"/>
        <v>27.6</v>
      </c>
      <c r="I61">
        <v>240</v>
      </c>
      <c r="J61" s="4">
        <f t="shared" si="18"/>
        <v>1.84</v>
      </c>
      <c r="K61" s="1">
        <f t="shared" si="10"/>
        <v>2</v>
      </c>
      <c r="L61" t="s">
        <v>86</v>
      </c>
      <c r="M61" s="4">
        <f t="shared" si="3"/>
        <v>2</v>
      </c>
      <c r="N61" s="9"/>
    </row>
    <row r="62" spans="2:14" x14ac:dyDescent="0.25">
      <c r="B62" t="s">
        <v>8</v>
      </c>
      <c r="C62" t="s">
        <v>75</v>
      </c>
      <c r="D62" t="s">
        <v>124</v>
      </c>
      <c r="E62" t="s">
        <v>91</v>
      </c>
      <c r="F62" s="3">
        <v>84.6</v>
      </c>
      <c r="G62" s="2">
        <v>0.15</v>
      </c>
      <c r="H62" s="3">
        <f t="shared" si="17"/>
        <v>97.289999999999992</v>
      </c>
      <c r="I62">
        <v>240</v>
      </c>
      <c r="J62" s="4">
        <f t="shared" si="18"/>
        <v>6.4859999999999998</v>
      </c>
      <c r="K62" s="1">
        <f t="shared" si="10"/>
        <v>6</v>
      </c>
      <c r="L62" t="s">
        <v>84</v>
      </c>
      <c r="M62" s="4">
        <f t="shared" si="3"/>
        <v>6</v>
      </c>
      <c r="N62" s="9"/>
    </row>
    <row r="63" spans="2:14" x14ac:dyDescent="0.25">
      <c r="B63" t="s">
        <v>8</v>
      </c>
      <c r="C63" t="s">
        <v>75</v>
      </c>
      <c r="D63" t="s">
        <v>124</v>
      </c>
      <c r="E63" t="s">
        <v>92</v>
      </c>
      <c r="F63" s="3">
        <v>24</v>
      </c>
      <c r="G63" s="2">
        <v>0.15</v>
      </c>
      <c r="H63" s="3">
        <f t="shared" si="17"/>
        <v>27.6</v>
      </c>
      <c r="I63">
        <v>240</v>
      </c>
      <c r="J63" s="4">
        <f t="shared" si="18"/>
        <v>1.84</v>
      </c>
      <c r="K63" s="1">
        <f t="shared" si="10"/>
        <v>2</v>
      </c>
      <c r="L63" t="s">
        <v>112</v>
      </c>
      <c r="M63" s="4">
        <f t="shared" si="3"/>
        <v>2</v>
      </c>
      <c r="N63" s="9"/>
    </row>
    <row r="64" spans="2:14" x14ac:dyDescent="0.25">
      <c r="B64" t="s">
        <v>8</v>
      </c>
      <c r="C64" t="s">
        <v>75</v>
      </c>
      <c r="D64" t="s">
        <v>124</v>
      </c>
      <c r="E64" t="s">
        <v>93</v>
      </c>
      <c r="F64" s="3">
        <v>22</v>
      </c>
      <c r="G64" s="2">
        <v>0.15</v>
      </c>
      <c r="H64" s="3">
        <f t="shared" si="17"/>
        <v>25.3</v>
      </c>
      <c r="I64">
        <v>240</v>
      </c>
      <c r="J64" s="4">
        <f t="shared" si="18"/>
        <v>1.6866666666666668</v>
      </c>
      <c r="K64" s="1">
        <f t="shared" si="10"/>
        <v>2</v>
      </c>
      <c r="L64" t="s">
        <v>113</v>
      </c>
      <c r="M64" s="4">
        <f t="shared" si="3"/>
        <v>2</v>
      </c>
      <c r="N64" s="9"/>
    </row>
    <row r="65" spans="2:14" x14ac:dyDescent="0.25">
      <c r="B65" t="s">
        <v>8</v>
      </c>
      <c r="C65" t="s">
        <v>75</v>
      </c>
      <c r="D65" t="s">
        <v>124</v>
      </c>
      <c r="E65" t="s">
        <v>94</v>
      </c>
      <c r="F65" s="3">
        <v>16</v>
      </c>
      <c r="G65" s="2">
        <v>0.15</v>
      </c>
      <c r="H65" s="3">
        <f t="shared" si="17"/>
        <v>18.399999999999999</v>
      </c>
      <c r="I65">
        <v>240</v>
      </c>
      <c r="J65" s="4">
        <f t="shared" si="18"/>
        <v>1.2266666666666666</v>
      </c>
      <c r="K65" s="1">
        <f t="shared" si="10"/>
        <v>1</v>
      </c>
      <c r="L65" t="s">
        <v>86</v>
      </c>
      <c r="M65" s="4">
        <f t="shared" si="3"/>
        <v>1</v>
      </c>
      <c r="N65" s="9"/>
    </row>
    <row r="66" spans="2:14" x14ac:dyDescent="0.25">
      <c r="B66" t="s">
        <v>8</v>
      </c>
      <c r="C66" t="s">
        <v>75</v>
      </c>
      <c r="D66" t="s">
        <v>124</v>
      </c>
      <c r="E66" t="s">
        <v>95</v>
      </c>
      <c r="F66" s="3">
        <v>25</v>
      </c>
      <c r="G66" s="2">
        <v>0.15</v>
      </c>
      <c r="H66" s="3">
        <f t="shared" si="17"/>
        <v>28.75</v>
      </c>
      <c r="I66">
        <v>240</v>
      </c>
      <c r="J66" s="4">
        <f t="shared" si="18"/>
        <v>1.9166666666666667</v>
      </c>
      <c r="K66" s="1">
        <f t="shared" si="10"/>
        <v>2</v>
      </c>
      <c r="L66" t="s">
        <v>113</v>
      </c>
      <c r="M66" s="4">
        <f t="shared" si="3"/>
        <v>2</v>
      </c>
      <c r="N66" s="9"/>
    </row>
    <row r="67" spans="2:14" x14ac:dyDescent="0.25">
      <c r="B67" t="s">
        <v>8</v>
      </c>
      <c r="C67" t="s">
        <v>75</v>
      </c>
      <c r="D67" t="s">
        <v>124</v>
      </c>
      <c r="E67" t="s">
        <v>96</v>
      </c>
      <c r="F67" s="3">
        <v>22</v>
      </c>
      <c r="G67" s="2">
        <v>0.15</v>
      </c>
      <c r="H67" s="3">
        <f t="shared" si="17"/>
        <v>25.3</v>
      </c>
      <c r="I67">
        <v>240</v>
      </c>
      <c r="J67" s="4">
        <f t="shared" si="18"/>
        <v>1.6866666666666668</v>
      </c>
      <c r="K67" s="1">
        <f t="shared" si="10"/>
        <v>2</v>
      </c>
      <c r="L67" t="s">
        <v>84</v>
      </c>
      <c r="M67" s="4">
        <f t="shared" si="3"/>
        <v>2</v>
      </c>
      <c r="N67" s="9"/>
    </row>
    <row r="68" spans="2:14" x14ac:dyDescent="0.25">
      <c r="B68" t="s">
        <v>8</v>
      </c>
      <c r="C68" t="s">
        <v>75</v>
      </c>
      <c r="D68" t="s">
        <v>124</v>
      </c>
      <c r="E68" t="s">
        <v>97</v>
      </c>
      <c r="F68" s="3">
        <v>28</v>
      </c>
      <c r="G68" s="2">
        <v>0.15</v>
      </c>
      <c r="H68" s="3">
        <f t="shared" si="17"/>
        <v>32.200000000000003</v>
      </c>
      <c r="I68">
        <v>240</v>
      </c>
      <c r="J68" s="4">
        <f t="shared" si="18"/>
        <v>2.1466666666666669</v>
      </c>
      <c r="K68" s="1">
        <f t="shared" si="10"/>
        <v>2</v>
      </c>
      <c r="L68" t="s">
        <v>84</v>
      </c>
      <c r="M68" s="4">
        <f t="shared" ref="M68:M119" si="19">+K68</f>
        <v>2</v>
      </c>
      <c r="N68" s="9"/>
    </row>
    <row r="69" spans="2:14" x14ac:dyDescent="0.25">
      <c r="B69" t="s">
        <v>8</v>
      </c>
      <c r="C69" t="s">
        <v>75</v>
      </c>
      <c r="D69" t="s">
        <v>124</v>
      </c>
      <c r="E69" t="s">
        <v>98</v>
      </c>
      <c r="F69" s="3">
        <v>84</v>
      </c>
      <c r="G69" s="2">
        <v>0.15</v>
      </c>
      <c r="H69" s="3">
        <f t="shared" si="17"/>
        <v>96.6</v>
      </c>
      <c r="I69">
        <v>240</v>
      </c>
      <c r="J69" s="4">
        <f t="shared" si="18"/>
        <v>6.4399999999999995</v>
      </c>
      <c r="K69" s="1">
        <f t="shared" si="10"/>
        <v>6</v>
      </c>
      <c r="L69" t="s">
        <v>84</v>
      </c>
      <c r="M69" s="4">
        <f t="shared" si="19"/>
        <v>6</v>
      </c>
      <c r="N69" s="9"/>
    </row>
    <row r="70" spans="2:14" x14ac:dyDescent="0.25">
      <c r="B70" t="s">
        <v>8</v>
      </c>
      <c r="C70" t="s">
        <v>75</v>
      </c>
      <c r="D70" t="s">
        <v>124</v>
      </c>
      <c r="E70" t="s">
        <v>99</v>
      </c>
      <c r="F70" s="3">
        <v>20</v>
      </c>
      <c r="G70" s="2">
        <v>0.15</v>
      </c>
      <c r="H70" s="3">
        <f t="shared" si="17"/>
        <v>23</v>
      </c>
      <c r="I70">
        <v>240</v>
      </c>
      <c r="J70" s="4">
        <f t="shared" si="18"/>
        <v>1.5333333333333334</v>
      </c>
      <c r="K70" s="1">
        <f t="shared" si="10"/>
        <v>2</v>
      </c>
      <c r="L70" t="s">
        <v>84</v>
      </c>
      <c r="M70" s="4">
        <f t="shared" si="19"/>
        <v>2</v>
      </c>
      <c r="N70" s="9"/>
    </row>
    <row r="71" spans="2:14" x14ac:dyDescent="0.25">
      <c r="B71" t="s">
        <v>8</v>
      </c>
      <c r="C71" t="s">
        <v>75</v>
      </c>
      <c r="D71" t="s">
        <v>123</v>
      </c>
      <c r="E71" t="s">
        <v>100</v>
      </c>
      <c r="F71" s="3">
        <v>22</v>
      </c>
      <c r="G71" s="2">
        <v>0.15</v>
      </c>
      <c r="H71" s="3">
        <f t="shared" si="17"/>
        <v>25.3</v>
      </c>
      <c r="I71">
        <v>240</v>
      </c>
      <c r="J71" s="4">
        <f t="shared" si="18"/>
        <v>1.6866666666666668</v>
      </c>
      <c r="K71" s="1">
        <f t="shared" si="10"/>
        <v>2</v>
      </c>
      <c r="L71" t="s">
        <v>112</v>
      </c>
      <c r="M71" s="4">
        <f t="shared" si="19"/>
        <v>2</v>
      </c>
      <c r="N71" s="9"/>
    </row>
    <row r="72" spans="2:14" x14ac:dyDescent="0.25">
      <c r="B72" t="s">
        <v>8</v>
      </c>
      <c r="C72" t="s">
        <v>75</v>
      </c>
      <c r="D72" t="s">
        <v>123</v>
      </c>
      <c r="E72" t="s">
        <v>101</v>
      </c>
      <c r="F72" s="3">
        <v>37.6</v>
      </c>
      <c r="G72" s="2">
        <v>0.15</v>
      </c>
      <c r="H72" s="3">
        <f t="shared" si="17"/>
        <v>43.24</v>
      </c>
      <c r="I72">
        <v>240</v>
      </c>
      <c r="J72" s="4">
        <f t="shared" si="18"/>
        <v>2.8826666666666667</v>
      </c>
      <c r="K72" s="1">
        <f t="shared" si="10"/>
        <v>3</v>
      </c>
      <c r="L72" t="s">
        <v>112</v>
      </c>
      <c r="M72" s="4">
        <v>1</v>
      </c>
      <c r="N72" s="9"/>
    </row>
    <row r="73" spans="2:14" x14ac:dyDescent="0.25">
      <c r="B73" t="s">
        <v>8</v>
      </c>
      <c r="C73" t="s">
        <v>75</v>
      </c>
      <c r="D73" t="s">
        <v>123</v>
      </c>
      <c r="E73" s="7" t="s">
        <v>116</v>
      </c>
      <c r="F73" s="3">
        <v>21.5</v>
      </c>
      <c r="G73" s="2">
        <v>0.15</v>
      </c>
      <c r="H73" s="3">
        <f t="shared" si="17"/>
        <v>24.725000000000001</v>
      </c>
      <c r="I73">
        <v>240</v>
      </c>
      <c r="J73" s="4">
        <f t="shared" si="18"/>
        <v>1.6483333333333334</v>
      </c>
      <c r="K73" s="1">
        <f t="shared" si="10"/>
        <v>2</v>
      </c>
      <c r="L73" t="s">
        <v>112</v>
      </c>
      <c r="M73" s="4">
        <f t="shared" si="19"/>
        <v>2</v>
      </c>
      <c r="N73" s="9"/>
    </row>
    <row r="74" spans="2:14" x14ac:dyDescent="0.25">
      <c r="B74" t="s">
        <v>8</v>
      </c>
      <c r="C74" t="s">
        <v>75</v>
      </c>
      <c r="D74" t="s">
        <v>123</v>
      </c>
      <c r="E74" t="s">
        <v>117</v>
      </c>
      <c r="F74" s="3">
        <v>79.5</v>
      </c>
      <c r="G74" s="2">
        <v>0.15</v>
      </c>
      <c r="H74" s="3">
        <f t="shared" si="17"/>
        <v>91.424999999999997</v>
      </c>
      <c r="I74">
        <v>240</v>
      </c>
      <c r="J74" s="4">
        <f t="shared" si="18"/>
        <v>6.0949999999999998</v>
      </c>
      <c r="K74" s="1">
        <f t="shared" si="10"/>
        <v>6</v>
      </c>
      <c r="L74" t="s">
        <v>81</v>
      </c>
      <c r="M74" s="4">
        <f t="shared" si="19"/>
        <v>6</v>
      </c>
      <c r="N74" s="9"/>
    </row>
    <row r="75" spans="2:14" x14ac:dyDescent="0.25">
      <c r="B75" t="s">
        <v>8</v>
      </c>
      <c r="C75" t="s">
        <v>75</v>
      </c>
      <c r="D75" t="s">
        <v>123</v>
      </c>
      <c r="E75" t="s">
        <v>102</v>
      </c>
      <c r="F75" s="3">
        <v>21.5</v>
      </c>
      <c r="G75" s="2">
        <v>0.15</v>
      </c>
      <c r="H75" s="3">
        <f t="shared" si="17"/>
        <v>24.725000000000001</v>
      </c>
      <c r="I75">
        <v>240</v>
      </c>
      <c r="J75" s="4">
        <f t="shared" si="18"/>
        <v>1.6483333333333334</v>
      </c>
      <c r="K75" s="1">
        <f t="shared" si="10"/>
        <v>2</v>
      </c>
      <c r="L75" t="s">
        <v>81</v>
      </c>
      <c r="M75" s="4">
        <f t="shared" si="19"/>
        <v>2</v>
      </c>
      <c r="N75" s="9"/>
    </row>
    <row r="76" spans="2:14" x14ac:dyDescent="0.25">
      <c r="B76" t="s">
        <v>8</v>
      </c>
      <c r="C76" t="s">
        <v>75</v>
      </c>
      <c r="D76" t="s">
        <v>123</v>
      </c>
      <c r="E76" t="s">
        <v>103</v>
      </c>
      <c r="F76" s="3">
        <v>16</v>
      </c>
      <c r="G76" s="2">
        <v>0.15</v>
      </c>
      <c r="H76" s="3">
        <f t="shared" si="17"/>
        <v>18.399999999999999</v>
      </c>
      <c r="I76">
        <v>240</v>
      </c>
      <c r="J76" s="4">
        <f t="shared" si="18"/>
        <v>1.2266666666666666</v>
      </c>
      <c r="K76" s="1">
        <f t="shared" si="10"/>
        <v>1</v>
      </c>
      <c r="L76" t="s">
        <v>84</v>
      </c>
      <c r="M76" s="4">
        <f t="shared" si="19"/>
        <v>1</v>
      </c>
      <c r="N76" s="9"/>
    </row>
    <row r="77" spans="2:14" x14ac:dyDescent="0.25">
      <c r="B77" t="s">
        <v>8</v>
      </c>
      <c r="C77" t="s">
        <v>75</v>
      </c>
      <c r="D77" t="s">
        <v>123</v>
      </c>
      <c r="E77" t="s">
        <v>104</v>
      </c>
      <c r="F77" s="3">
        <v>21.6</v>
      </c>
      <c r="G77" s="2">
        <v>0.15</v>
      </c>
      <c r="H77" s="3">
        <f t="shared" si="17"/>
        <v>24.840000000000003</v>
      </c>
      <c r="I77">
        <v>240</v>
      </c>
      <c r="J77" s="4">
        <f t="shared" si="18"/>
        <v>1.6560000000000001</v>
      </c>
      <c r="K77" s="1">
        <f t="shared" si="10"/>
        <v>2</v>
      </c>
      <c r="L77" t="s">
        <v>86</v>
      </c>
      <c r="M77" s="4">
        <f t="shared" si="19"/>
        <v>2</v>
      </c>
      <c r="N77" s="9"/>
    </row>
    <row r="78" spans="2:14" x14ac:dyDescent="0.25">
      <c r="B78" t="s">
        <v>8</v>
      </c>
      <c r="C78" t="s">
        <v>75</v>
      </c>
      <c r="D78" t="s">
        <v>123</v>
      </c>
      <c r="E78" t="s">
        <v>105</v>
      </c>
      <c r="F78" s="3">
        <v>26.1</v>
      </c>
      <c r="G78" s="2">
        <v>0.15</v>
      </c>
      <c r="H78" s="3">
        <f t="shared" si="17"/>
        <v>30.015000000000001</v>
      </c>
      <c r="I78">
        <v>240</v>
      </c>
      <c r="J78" s="4">
        <f t="shared" si="18"/>
        <v>2.0009999999999999</v>
      </c>
      <c r="K78" s="1">
        <f t="shared" si="10"/>
        <v>2</v>
      </c>
      <c r="L78" t="s">
        <v>56</v>
      </c>
      <c r="M78" s="4">
        <f t="shared" si="19"/>
        <v>2</v>
      </c>
      <c r="N78" s="9"/>
    </row>
    <row r="79" spans="2:14" x14ac:dyDescent="0.25">
      <c r="B79" t="s">
        <v>8</v>
      </c>
      <c r="C79" t="s">
        <v>75</v>
      </c>
      <c r="D79" t="s">
        <v>123</v>
      </c>
      <c r="E79" t="s">
        <v>106</v>
      </c>
      <c r="F79" s="3">
        <v>26.5</v>
      </c>
      <c r="G79" s="2">
        <v>0.15</v>
      </c>
      <c r="H79" s="3">
        <f t="shared" si="17"/>
        <v>30.475000000000001</v>
      </c>
      <c r="I79">
        <v>240</v>
      </c>
      <c r="J79" s="4">
        <f t="shared" si="18"/>
        <v>2.0316666666666667</v>
      </c>
      <c r="K79" s="1">
        <f t="shared" si="10"/>
        <v>2</v>
      </c>
      <c r="L79" t="s">
        <v>86</v>
      </c>
      <c r="M79" s="4">
        <f t="shared" si="19"/>
        <v>2</v>
      </c>
      <c r="N79" s="9"/>
    </row>
    <row r="80" spans="2:14" x14ac:dyDescent="0.25">
      <c r="B80" t="s">
        <v>8</v>
      </c>
      <c r="C80" t="s">
        <v>75</v>
      </c>
      <c r="D80" t="s">
        <v>123</v>
      </c>
      <c r="E80" t="s">
        <v>107</v>
      </c>
      <c r="F80" s="3">
        <f>49.11/2</f>
        <v>24.555</v>
      </c>
      <c r="G80" s="2">
        <v>0.15</v>
      </c>
      <c r="H80" s="3">
        <f t="shared" si="17"/>
        <v>28.238250000000001</v>
      </c>
      <c r="I80">
        <v>240</v>
      </c>
      <c r="J80" s="4">
        <f t="shared" si="18"/>
        <v>1.8825499999999999</v>
      </c>
      <c r="K80" s="1">
        <f t="shared" si="10"/>
        <v>2</v>
      </c>
      <c r="L80" t="s">
        <v>114</v>
      </c>
      <c r="M80" s="4">
        <f t="shared" si="19"/>
        <v>2</v>
      </c>
      <c r="N80" s="9"/>
    </row>
    <row r="81" spans="2:14" x14ac:dyDescent="0.25">
      <c r="B81" t="s">
        <v>8</v>
      </c>
      <c r="C81" t="s">
        <v>75</v>
      </c>
      <c r="D81" t="s">
        <v>123</v>
      </c>
      <c r="E81" t="s">
        <v>108</v>
      </c>
      <c r="F81" s="3">
        <f>49.11/2</f>
        <v>24.555</v>
      </c>
      <c r="G81" s="2">
        <v>0.15</v>
      </c>
      <c r="H81" s="3">
        <f t="shared" si="17"/>
        <v>28.238250000000001</v>
      </c>
      <c r="I81">
        <v>240</v>
      </c>
      <c r="J81" s="4">
        <f t="shared" si="18"/>
        <v>1.8825499999999999</v>
      </c>
      <c r="K81" s="1">
        <f t="shared" si="10"/>
        <v>2</v>
      </c>
      <c r="L81" t="s">
        <v>115</v>
      </c>
      <c r="M81" s="4">
        <f t="shared" si="19"/>
        <v>2</v>
      </c>
      <c r="N81" s="9"/>
    </row>
    <row r="82" spans="2:14" x14ac:dyDescent="0.25">
      <c r="B82" t="s">
        <v>8</v>
      </c>
      <c r="C82" t="s">
        <v>75</v>
      </c>
      <c r="D82" t="s">
        <v>123</v>
      </c>
      <c r="E82" t="s">
        <v>109</v>
      </c>
      <c r="F82" s="3">
        <v>23</v>
      </c>
      <c r="G82" s="2">
        <v>0.15</v>
      </c>
      <c r="H82" s="3">
        <f t="shared" si="17"/>
        <v>26.45</v>
      </c>
      <c r="I82">
        <v>240</v>
      </c>
      <c r="J82" s="4">
        <f t="shared" si="18"/>
        <v>1.7633333333333332</v>
      </c>
      <c r="K82" s="1">
        <f t="shared" si="10"/>
        <v>2</v>
      </c>
      <c r="L82" t="s">
        <v>84</v>
      </c>
      <c r="M82" s="4">
        <f t="shared" si="19"/>
        <v>2</v>
      </c>
      <c r="N82" s="9"/>
    </row>
    <row r="83" spans="2:14" x14ac:dyDescent="0.25">
      <c r="B83" t="s">
        <v>8</v>
      </c>
      <c r="C83" t="s">
        <v>75</v>
      </c>
      <c r="D83" t="s">
        <v>123</v>
      </c>
      <c r="E83" t="s">
        <v>110</v>
      </c>
      <c r="F83" s="3">
        <v>98</v>
      </c>
      <c r="G83" s="2">
        <v>0.15</v>
      </c>
      <c r="H83" s="3">
        <f t="shared" si="17"/>
        <v>112.7</v>
      </c>
      <c r="I83">
        <v>240</v>
      </c>
      <c r="J83" s="4">
        <f t="shared" si="18"/>
        <v>7.5133333333333336</v>
      </c>
      <c r="K83" s="1">
        <f t="shared" si="10"/>
        <v>8</v>
      </c>
      <c r="L83" t="s">
        <v>81</v>
      </c>
      <c r="M83" s="4">
        <f t="shared" si="19"/>
        <v>8</v>
      </c>
      <c r="N83" s="9"/>
    </row>
    <row r="84" spans="2:14" x14ac:dyDescent="0.25">
      <c r="B84" t="s">
        <v>8</v>
      </c>
      <c r="C84" t="s">
        <v>118</v>
      </c>
      <c r="D84" t="s">
        <v>118</v>
      </c>
      <c r="E84" t="s">
        <v>125</v>
      </c>
      <c r="F84" s="3">
        <v>20</v>
      </c>
      <c r="G84" s="2">
        <v>0.15</v>
      </c>
      <c r="H84" s="3">
        <f t="shared" ref="H84:H119" si="20">+F84+(F84*G84)</f>
        <v>23</v>
      </c>
      <c r="I84">
        <v>240</v>
      </c>
      <c r="J84" s="4">
        <f t="shared" ref="J84:J119" si="21">+H84/(3600/I84)</f>
        <v>1.5333333333333334</v>
      </c>
      <c r="K84" s="1">
        <f t="shared" si="10"/>
        <v>2</v>
      </c>
      <c r="L84" t="s">
        <v>158</v>
      </c>
      <c r="M84" s="4">
        <f t="shared" si="19"/>
        <v>2</v>
      </c>
      <c r="N84" s="9"/>
    </row>
    <row r="85" spans="2:14" x14ac:dyDescent="0.25">
      <c r="B85" t="s">
        <v>8</v>
      </c>
      <c r="C85" t="s">
        <v>118</v>
      </c>
      <c r="D85" t="s">
        <v>118</v>
      </c>
      <c r="E85" t="s">
        <v>126</v>
      </c>
      <c r="F85" s="3">
        <v>56.5</v>
      </c>
      <c r="G85" s="2">
        <v>0.15</v>
      </c>
      <c r="H85" s="3">
        <f t="shared" si="20"/>
        <v>64.974999999999994</v>
      </c>
      <c r="I85">
        <v>240</v>
      </c>
      <c r="J85" s="4">
        <f t="shared" si="21"/>
        <v>4.3316666666666661</v>
      </c>
      <c r="K85" s="1">
        <f t="shared" si="10"/>
        <v>4</v>
      </c>
      <c r="L85" t="s">
        <v>159</v>
      </c>
      <c r="M85" s="4">
        <f t="shared" si="19"/>
        <v>4</v>
      </c>
      <c r="N85" s="9"/>
    </row>
    <row r="86" spans="2:14" x14ac:dyDescent="0.25">
      <c r="B86" t="s">
        <v>8</v>
      </c>
      <c r="C86" t="s">
        <v>118</v>
      </c>
      <c r="D86" t="s">
        <v>118</v>
      </c>
      <c r="E86" t="s">
        <v>127</v>
      </c>
      <c r="F86" s="3">
        <v>52.3</v>
      </c>
      <c r="G86" s="2">
        <v>0.15</v>
      </c>
      <c r="H86" s="3">
        <f t="shared" si="20"/>
        <v>60.144999999999996</v>
      </c>
      <c r="I86">
        <v>240</v>
      </c>
      <c r="J86" s="4">
        <f t="shared" si="21"/>
        <v>4.009666666666666</v>
      </c>
      <c r="K86" s="1">
        <f t="shared" si="10"/>
        <v>4</v>
      </c>
      <c r="L86" t="s">
        <v>160</v>
      </c>
      <c r="M86" s="4">
        <f t="shared" si="19"/>
        <v>4</v>
      </c>
      <c r="N86" s="9"/>
    </row>
    <row r="87" spans="2:14" x14ac:dyDescent="0.25">
      <c r="B87" t="s">
        <v>8</v>
      </c>
      <c r="C87" t="s">
        <v>118</v>
      </c>
      <c r="D87" t="s">
        <v>118</v>
      </c>
      <c r="E87" t="s">
        <v>128</v>
      </c>
      <c r="F87" s="3"/>
      <c r="G87" s="2">
        <v>0.15</v>
      </c>
      <c r="H87" s="3">
        <f t="shared" si="20"/>
        <v>0</v>
      </c>
      <c r="I87">
        <v>240</v>
      </c>
      <c r="J87" s="4">
        <f t="shared" si="21"/>
        <v>0</v>
      </c>
      <c r="K87" s="1" t="str">
        <f t="shared" si="10"/>
        <v>NA</v>
      </c>
      <c r="L87" t="s">
        <v>81</v>
      </c>
      <c r="M87" s="4" t="str">
        <f t="shared" si="19"/>
        <v>NA</v>
      </c>
      <c r="N87" s="9"/>
    </row>
    <row r="88" spans="2:14" x14ac:dyDescent="0.25">
      <c r="B88" t="s">
        <v>8</v>
      </c>
      <c r="C88" t="s">
        <v>118</v>
      </c>
      <c r="D88" t="s">
        <v>118</v>
      </c>
      <c r="E88" t="s">
        <v>129</v>
      </c>
      <c r="F88" s="3">
        <v>19.7</v>
      </c>
      <c r="G88" s="2">
        <v>0.15</v>
      </c>
      <c r="H88" s="3">
        <f t="shared" si="20"/>
        <v>22.654999999999998</v>
      </c>
      <c r="I88">
        <v>240</v>
      </c>
      <c r="J88" s="4">
        <f t="shared" si="21"/>
        <v>1.5103333333333331</v>
      </c>
      <c r="K88" s="1">
        <f t="shared" si="10"/>
        <v>2</v>
      </c>
      <c r="L88" t="s">
        <v>161</v>
      </c>
      <c r="M88" s="4">
        <f t="shared" si="19"/>
        <v>2</v>
      </c>
      <c r="N88" s="9"/>
    </row>
    <row r="89" spans="2:14" x14ac:dyDescent="0.25">
      <c r="B89" t="s">
        <v>8</v>
      </c>
      <c r="C89" t="s">
        <v>118</v>
      </c>
      <c r="D89" t="s">
        <v>118</v>
      </c>
      <c r="E89" t="s">
        <v>130</v>
      </c>
      <c r="F89" s="3">
        <v>45.9</v>
      </c>
      <c r="G89" s="2">
        <v>0.15</v>
      </c>
      <c r="H89" s="3">
        <f t="shared" si="20"/>
        <v>52.784999999999997</v>
      </c>
      <c r="I89">
        <v>240</v>
      </c>
      <c r="J89" s="4">
        <f t="shared" si="21"/>
        <v>3.5189999999999997</v>
      </c>
      <c r="K89" s="1">
        <f t="shared" si="10"/>
        <v>4</v>
      </c>
      <c r="L89" t="s">
        <v>81</v>
      </c>
      <c r="M89" s="4">
        <f t="shared" si="19"/>
        <v>4</v>
      </c>
      <c r="N89" s="9"/>
    </row>
    <row r="90" spans="2:14" x14ac:dyDescent="0.25">
      <c r="B90" t="s">
        <v>8</v>
      </c>
      <c r="C90" t="s">
        <v>118</v>
      </c>
      <c r="D90" t="s">
        <v>118</v>
      </c>
      <c r="E90" t="s">
        <v>131</v>
      </c>
      <c r="F90" s="3"/>
      <c r="G90" s="2">
        <v>0.15</v>
      </c>
      <c r="H90" s="3">
        <f t="shared" si="20"/>
        <v>0</v>
      </c>
      <c r="I90">
        <v>240</v>
      </c>
      <c r="J90" s="4">
        <f t="shared" si="21"/>
        <v>0</v>
      </c>
      <c r="K90" s="1" t="str">
        <f t="shared" si="10"/>
        <v>NA</v>
      </c>
      <c r="L90" t="s">
        <v>81</v>
      </c>
      <c r="M90" s="4" t="str">
        <f t="shared" si="19"/>
        <v>NA</v>
      </c>
      <c r="N90" s="9"/>
    </row>
    <row r="91" spans="2:14" x14ac:dyDescent="0.25">
      <c r="B91" t="s">
        <v>8</v>
      </c>
      <c r="C91" t="s">
        <v>118</v>
      </c>
      <c r="D91" t="s">
        <v>118</v>
      </c>
      <c r="E91" t="s">
        <v>132</v>
      </c>
      <c r="F91" s="3"/>
      <c r="G91" s="2">
        <v>0.15</v>
      </c>
      <c r="H91" s="3">
        <f t="shared" si="20"/>
        <v>0</v>
      </c>
      <c r="I91">
        <v>240</v>
      </c>
      <c r="J91" s="4">
        <f t="shared" si="21"/>
        <v>0</v>
      </c>
      <c r="K91" s="1" t="str">
        <f t="shared" si="10"/>
        <v>NA</v>
      </c>
      <c r="L91" t="s">
        <v>162</v>
      </c>
      <c r="M91" s="4" t="str">
        <f t="shared" si="19"/>
        <v>NA</v>
      </c>
      <c r="N91" s="9"/>
    </row>
    <row r="92" spans="2:14" x14ac:dyDescent="0.25">
      <c r="B92" t="s">
        <v>8</v>
      </c>
      <c r="C92" t="s">
        <v>118</v>
      </c>
      <c r="D92" t="s">
        <v>118</v>
      </c>
      <c r="E92" t="s">
        <v>133</v>
      </c>
      <c r="F92" s="3">
        <v>14</v>
      </c>
      <c r="G92" s="2">
        <v>0.15</v>
      </c>
      <c r="H92" s="3">
        <f t="shared" si="20"/>
        <v>16.100000000000001</v>
      </c>
      <c r="I92">
        <v>240</v>
      </c>
      <c r="J92" s="4">
        <f t="shared" si="21"/>
        <v>1.0733333333333335</v>
      </c>
      <c r="K92" s="1">
        <f t="shared" si="10"/>
        <v>1</v>
      </c>
      <c r="L92" t="s">
        <v>163</v>
      </c>
      <c r="M92" s="4">
        <f t="shared" si="19"/>
        <v>1</v>
      </c>
      <c r="N92" s="9"/>
    </row>
    <row r="93" spans="2:14" x14ac:dyDescent="0.25">
      <c r="B93" t="s">
        <v>8</v>
      </c>
      <c r="C93" t="s">
        <v>118</v>
      </c>
      <c r="D93" t="s">
        <v>118</v>
      </c>
      <c r="E93" t="s">
        <v>134</v>
      </c>
      <c r="F93" s="3"/>
      <c r="G93" s="2">
        <v>0.15</v>
      </c>
      <c r="H93" s="3">
        <f t="shared" si="20"/>
        <v>0</v>
      </c>
      <c r="I93">
        <v>240</v>
      </c>
      <c r="J93" s="4">
        <f t="shared" si="21"/>
        <v>0</v>
      </c>
      <c r="K93" s="1" t="str">
        <f t="shared" si="10"/>
        <v>NA</v>
      </c>
      <c r="L93" t="s">
        <v>164</v>
      </c>
      <c r="M93" s="4" t="str">
        <f t="shared" si="19"/>
        <v>NA</v>
      </c>
      <c r="N93" s="9"/>
    </row>
    <row r="94" spans="2:14" x14ac:dyDescent="0.25">
      <c r="B94" t="s">
        <v>8</v>
      </c>
      <c r="C94" t="s">
        <v>118</v>
      </c>
      <c r="D94" t="s">
        <v>118</v>
      </c>
      <c r="E94" t="s">
        <v>135</v>
      </c>
      <c r="F94" s="3">
        <v>16</v>
      </c>
      <c r="G94" s="2">
        <v>0.15</v>
      </c>
      <c r="H94" s="3">
        <f t="shared" si="20"/>
        <v>18.399999999999999</v>
      </c>
      <c r="I94">
        <v>240</v>
      </c>
      <c r="J94" s="4">
        <f t="shared" si="21"/>
        <v>1.2266666666666666</v>
      </c>
      <c r="K94" s="1">
        <f t="shared" si="10"/>
        <v>1</v>
      </c>
      <c r="L94" t="s">
        <v>81</v>
      </c>
      <c r="M94" s="4">
        <f t="shared" si="19"/>
        <v>1</v>
      </c>
      <c r="N94" s="9"/>
    </row>
    <row r="95" spans="2:14" x14ac:dyDescent="0.25">
      <c r="B95" t="s">
        <v>8</v>
      </c>
      <c r="C95" t="s">
        <v>118</v>
      </c>
      <c r="D95" t="s">
        <v>118</v>
      </c>
      <c r="E95" t="s">
        <v>136</v>
      </c>
      <c r="F95" s="3">
        <v>32</v>
      </c>
      <c r="G95" s="2">
        <v>0.15</v>
      </c>
      <c r="H95" s="3">
        <f t="shared" si="20"/>
        <v>36.799999999999997</v>
      </c>
      <c r="I95">
        <v>240</v>
      </c>
      <c r="J95" s="4">
        <f t="shared" si="21"/>
        <v>2.4533333333333331</v>
      </c>
      <c r="K95" s="1">
        <f t="shared" si="10"/>
        <v>2</v>
      </c>
      <c r="L95" t="s">
        <v>165</v>
      </c>
      <c r="M95" s="4">
        <f t="shared" si="19"/>
        <v>2</v>
      </c>
      <c r="N95" s="9"/>
    </row>
    <row r="96" spans="2:14" x14ac:dyDescent="0.25">
      <c r="B96" t="s">
        <v>8</v>
      </c>
      <c r="C96" t="s">
        <v>118</v>
      </c>
      <c r="D96" t="s">
        <v>118</v>
      </c>
      <c r="E96" t="s">
        <v>137</v>
      </c>
      <c r="F96" s="3">
        <v>32.6</v>
      </c>
      <c r="G96" s="2">
        <v>0.15</v>
      </c>
      <c r="H96" s="3">
        <f t="shared" si="20"/>
        <v>37.49</v>
      </c>
      <c r="I96">
        <v>240</v>
      </c>
      <c r="J96" s="4">
        <f t="shared" si="21"/>
        <v>2.4993333333333334</v>
      </c>
      <c r="K96" s="1">
        <f t="shared" si="10"/>
        <v>2</v>
      </c>
      <c r="L96" t="s">
        <v>81</v>
      </c>
      <c r="M96" s="4">
        <f t="shared" si="19"/>
        <v>2</v>
      </c>
      <c r="N96" s="9"/>
    </row>
    <row r="97" spans="2:14" x14ac:dyDescent="0.25">
      <c r="B97" t="s">
        <v>8</v>
      </c>
      <c r="C97" t="s">
        <v>118</v>
      </c>
      <c r="D97" t="s">
        <v>118</v>
      </c>
      <c r="E97" t="s">
        <v>138</v>
      </c>
      <c r="F97" s="3">
        <v>16</v>
      </c>
      <c r="G97" s="2">
        <v>0.15</v>
      </c>
      <c r="H97" s="3">
        <f t="shared" si="20"/>
        <v>18.399999999999999</v>
      </c>
      <c r="I97">
        <v>240</v>
      </c>
      <c r="J97" s="4">
        <f t="shared" si="21"/>
        <v>1.2266666666666666</v>
      </c>
      <c r="K97" s="1">
        <f t="shared" si="10"/>
        <v>1</v>
      </c>
      <c r="L97" t="s">
        <v>81</v>
      </c>
      <c r="M97" s="4">
        <f t="shared" si="19"/>
        <v>1</v>
      </c>
      <c r="N97" s="9"/>
    </row>
    <row r="98" spans="2:14" x14ac:dyDescent="0.25">
      <c r="B98" t="s">
        <v>8</v>
      </c>
      <c r="C98" t="s">
        <v>118</v>
      </c>
      <c r="D98" t="s">
        <v>118</v>
      </c>
      <c r="E98" t="s">
        <v>134</v>
      </c>
      <c r="F98" s="3"/>
      <c r="G98" s="2">
        <v>0.15</v>
      </c>
      <c r="H98" s="3">
        <f t="shared" si="20"/>
        <v>0</v>
      </c>
      <c r="I98">
        <v>240</v>
      </c>
      <c r="J98" s="4">
        <f t="shared" si="21"/>
        <v>0</v>
      </c>
      <c r="K98" s="1" t="str">
        <f t="shared" si="10"/>
        <v>NA</v>
      </c>
      <c r="L98" t="s">
        <v>164</v>
      </c>
      <c r="M98" s="4" t="str">
        <f t="shared" si="19"/>
        <v>NA</v>
      </c>
      <c r="N98" s="9"/>
    </row>
    <row r="99" spans="2:14" x14ac:dyDescent="0.25">
      <c r="B99" t="s">
        <v>8</v>
      </c>
      <c r="C99" t="s">
        <v>118</v>
      </c>
      <c r="D99" t="s">
        <v>118</v>
      </c>
      <c r="E99" t="s">
        <v>139</v>
      </c>
      <c r="F99" s="3">
        <v>22</v>
      </c>
      <c r="G99" s="2">
        <v>0.15</v>
      </c>
      <c r="H99" s="3">
        <f t="shared" si="20"/>
        <v>25.3</v>
      </c>
      <c r="I99">
        <v>240</v>
      </c>
      <c r="J99" s="4">
        <f t="shared" si="21"/>
        <v>1.6866666666666668</v>
      </c>
      <c r="K99" s="1">
        <f t="shared" si="10"/>
        <v>2</v>
      </c>
      <c r="L99" t="s">
        <v>81</v>
      </c>
      <c r="M99" s="4">
        <f t="shared" si="19"/>
        <v>2</v>
      </c>
      <c r="N99" s="9"/>
    </row>
    <row r="100" spans="2:14" x14ac:dyDescent="0.25">
      <c r="B100" t="s">
        <v>8</v>
      </c>
      <c r="C100" t="s">
        <v>118</v>
      </c>
      <c r="D100" t="s">
        <v>118</v>
      </c>
      <c r="E100" t="s">
        <v>140</v>
      </c>
      <c r="F100" s="3">
        <v>80</v>
      </c>
      <c r="G100" s="2">
        <v>0.15</v>
      </c>
      <c r="H100" s="3">
        <f t="shared" si="20"/>
        <v>92</v>
      </c>
      <c r="I100">
        <v>240</v>
      </c>
      <c r="J100" s="4">
        <f t="shared" si="21"/>
        <v>6.1333333333333337</v>
      </c>
      <c r="K100" s="1">
        <f t="shared" ref="K100:K121" si="22">IF(SUM(J100:J100)=0,"NA",IF(SUM(J100:J100)&lt;1,1,IF(MOD(SUM(J100:J100),1)&gt;=0.5,ROUNDUP(SUM(J100:J100),0),ROUNDDOWN(SUM(J100:J100),0))))</f>
        <v>6</v>
      </c>
      <c r="L100" t="s">
        <v>81</v>
      </c>
      <c r="M100" s="4">
        <f t="shared" si="19"/>
        <v>6</v>
      </c>
      <c r="N100" s="9"/>
    </row>
    <row r="101" spans="2:14" x14ac:dyDescent="0.25">
      <c r="B101" t="s">
        <v>8</v>
      </c>
      <c r="C101" t="s">
        <v>118</v>
      </c>
      <c r="D101" t="s">
        <v>118</v>
      </c>
      <c r="E101" t="s">
        <v>134</v>
      </c>
      <c r="F101" s="3"/>
      <c r="G101" s="2">
        <v>0.15</v>
      </c>
      <c r="H101" s="3">
        <f t="shared" si="20"/>
        <v>0</v>
      </c>
      <c r="I101">
        <v>240</v>
      </c>
      <c r="J101" s="4">
        <f t="shared" si="21"/>
        <v>0</v>
      </c>
      <c r="K101" s="1" t="str">
        <f t="shared" si="22"/>
        <v>NA</v>
      </c>
      <c r="L101" t="s">
        <v>164</v>
      </c>
      <c r="M101" s="4" t="str">
        <f t="shared" si="19"/>
        <v>NA</v>
      </c>
      <c r="N101" s="9"/>
    </row>
    <row r="102" spans="2:14" x14ac:dyDescent="0.25">
      <c r="B102" t="s">
        <v>8</v>
      </c>
      <c r="C102" t="s">
        <v>118</v>
      </c>
      <c r="D102" t="s">
        <v>118</v>
      </c>
      <c r="E102" t="s">
        <v>141</v>
      </c>
      <c r="F102" s="3">
        <v>22</v>
      </c>
      <c r="G102" s="2">
        <v>0.15</v>
      </c>
      <c r="H102" s="3">
        <f t="shared" si="20"/>
        <v>25.3</v>
      </c>
      <c r="I102">
        <v>240</v>
      </c>
      <c r="J102" s="4">
        <f t="shared" si="21"/>
        <v>1.6866666666666668</v>
      </c>
      <c r="K102" s="1">
        <f t="shared" si="22"/>
        <v>2</v>
      </c>
      <c r="L102" t="s">
        <v>81</v>
      </c>
      <c r="M102" s="4">
        <f t="shared" si="19"/>
        <v>2</v>
      </c>
      <c r="N102" s="9"/>
    </row>
    <row r="103" spans="2:14" x14ac:dyDescent="0.25">
      <c r="B103" t="s">
        <v>8</v>
      </c>
      <c r="C103" t="s">
        <v>118</v>
      </c>
      <c r="D103" t="s">
        <v>118</v>
      </c>
      <c r="E103" t="s">
        <v>142</v>
      </c>
      <c r="F103" s="3">
        <v>80.2</v>
      </c>
      <c r="G103" s="2">
        <v>0.15</v>
      </c>
      <c r="H103" s="3">
        <f t="shared" si="20"/>
        <v>92.23</v>
      </c>
      <c r="I103">
        <v>240</v>
      </c>
      <c r="J103" s="4">
        <f t="shared" si="21"/>
        <v>6.1486666666666672</v>
      </c>
      <c r="K103" s="1">
        <f t="shared" si="22"/>
        <v>6</v>
      </c>
      <c r="L103" t="s">
        <v>81</v>
      </c>
      <c r="M103" s="4">
        <f t="shared" si="19"/>
        <v>6</v>
      </c>
      <c r="N103" s="9"/>
    </row>
    <row r="104" spans="2:14" x14ac:dyDescent="0.25">
      <c r="B104" t="s">
        <v>8</v>
      </c>
      <c r="C104" t="s">
        <v>118</v>
      </c>
      <c r="D104" t="s">
        <v>118</v>
      </c>
      <c r="E104" t="s">
        <v>134</v>
      </c>
      <c r="F104" s="3"/>
      <c r="G104" s="2">
        <v>0.15</v>
      </c>
      <c r="H104" s="3">
        <f t="shared" si="20"/>
        <v>0</v>
      </c>
      <c r="I104">
        <v>240</v>
      </c>
      <c r="J104" s="4">
        <f t="shared" si="21"/>
        <v>0</v>
      </c>
      <c r="K104" s="1" t="str">
        <f t="shared" si="22"/>
        <v>NA</v>
      </c>
      <c r="L104" t="s">
        <v>164</v>
      </c>
      <c r="M104" s="4" t="str">
        <f t="shared" si="19"/>
        <v>NA</v>
      </c>
      <c r="N104" s="9"/>
    </row>
    <row r="105" spans="2:14" x14ac:dyDescent="0.25">
      <c r="B105" t="s">
        <v>8</v>
      </c>
      <c r="C105" t="s">
        <v>118</v>
      </c>
      <c r="D105" t="s">
        <v>118</v>
      </c>
      <c r="E105" t="s">
        <v>143</v>
      </c>
      <c r="F105" s="3">
        <v>105</v>
      </c>
      <c r="G105" s="2">
        <v>0.15</v>
      </c>
      <c r="H105" s="3">
        <f t="shared" si="20"/>
        <v>120.75</v>
      </c>
      <c r="I105">
        <v>240</v>
      </c>
      <c r="J105" s="4">
        <f t="shared" si="21"/>
        <v>8.0500000000000007</v>
      </c>
      <c r="K105" s="1">
        <f t="shared" si="22"/>
        <v>8</v>
      </c>
      <c r="L105" t="s">
        <v>81</v>
      </c>
      <c r="M105" s="4">
        <f t="shared" si="19"/>
        <v>8</v>
      </c>
      <c r="N105" s="9"/>
    </row>
    <row r="106" spans="2:14" x14ac:dyDescent="0.25">
      <c r="B106" t="s">
        <v>8</v>
      </c>
      <c r="C106" t="s">
        <v>118</v>
      </c>
      <c r="D106" t="s">
        <v>118</v>
      </c>
      <c r="E106" t="s">
        <v>144</v>
      </c>
      <c r="F106" s="3">
        <v>22.5</v>
      </c>
      <c r="G106" s="2">
        <v>0.15</v>
      </c>
      <c r="H106" s="3">
        <f t="shared" si="20"/>
        <v>25.875</v>
      </c>
      <c r="I106">
        <v>240</v>
      </c>
      <c r="J106" s="4">
        <f t="shared" si="21"/>
        <v>1.7250000000000001</v>
      </c>
      <c r="K106" s="1">
        <f t="shared" si="22"/>
        <v>2</v>
      </c>
      <c r="L106" t="s">
        <v>166</v>
      </c>
      <c r="M106" s="4">
        <f t="shared" si="19"/>
        <v>2</v>
      </c>
      <c r="N106" s="9"/>
    </row>
    <row r="107" spans="2:14" x14ac:dyDescent="0.25">
      <c r="B107" t="s">
        <v>8</v>
      </c>
      <c r="C107" t="s">
        <v>118</v>
      </c>
      <c r="D107" t="s">
        <v>118</v>
      </c>
      <c r="E107" t="s">
        <v>131</v>
      </c>
      <c r="F107" s="3"/>
      <c r="G107" s="2">
        <v>0.15</v>
      </c>
      <c r="H107" s="3">
        <f t="shared" si="20"/>
        <v>0</v>
      </c>
      <c r="I107">
        <v>240</v>
      </c>
      <c r="J107" s="4">
        <f t="shared" si="21"/>
        <v>0</v>
      </c>
      <c r="K107" s="1" t="str">
        <f t="shared" si="22"/>
        <v>NA</v>
      </c>
      <c r="L107" t="s">
        <v>81</v>
      </c>
      <c r="M107" s="4" t="str">
        <f t="shared" si="19"/>
        <v>NA</v>
      </c>
      <c r="N107" s="9"/>
    </row>
    <row r="108" spans="2:14" x14ac:dyDescent="0.25">
      <c r="B108" t="s">
        <v>8</v>
      </c>
      <c r="C108" t="s">
        <v>118</v>
      </c>
      <c r="D108" t="s">
        <v>118</v>
      </c>
      <c r="E108" t="s">
        <v>145</v>
      </c>
      <c r="F108" s="3"/>
      <c r="G108" s="2">
        <v>0.15</v>
      </c>
      <c r="H108" s="3">
        <f t="shared" si="20"/>
        <v>0</v>
      </c>
      <c r="I108">
        <v>240</v>
      </c>
      <c r="J108" s="4">
        <f t="shared" si="21"/>
        <v>0</v>
      </c>
      <c r="K108" s="1" t="str">
        <f t="shared" si="22"/>
        <v>NA</v>
      </c>
      <c r="L108" t="s">
        <v>167</v>
      </c>
      <c r="M108" s="4" t="str">
        <f t="shared" si="19"/>
        <v>NA</v>
      </c>
      <c r="N108" s="9"/>
    </row>
    <row r="109" spans="2:14" x14ac:dyDescent="0.25">
      <c r="B109" t="s">
        <v>8</v>
      </c>
      <c r="C109" t="s">
        <v>118</v>
      </c>
      <c r="D109" t="s">
        <v>118</v>
      </c>
      <c r="E109" t="s">
        <v>146</v>
      </c>
      <c r="F109" s="3">
        <v>29.8</v>
      </c>
      <c r="G109" s="2">
        <v>0.15</v>
      </c>
      <c r="H109" s="3">
        <f t="shared" si="20"/>
        <v>34.270000000000003</v>
      </c>
      <c r="I109">
        <v>240</v>
      </c>
      <c r="J109" s="4">
        <f t="shared" si="21"/>
        <v>2.2846666666666668</v>
      </c>
      <c r="K109" s="1">
        <f t="shared" si="22"/>
        <v>2</v>
      </c>
      <c r="L109" t="s">
        <v>81</v>
      </c>
      <c r="M109" s="4">
        <f t="shared" si="19"/>
        <v>2</v>
      </c>
      <c r="N109" s="9"/>
    </row>
    <row r="110" spans="2:14" x14ac:dyDescent="0.25">
      <c r="B110" t="s">
        <v>8</v>
      </c>
      <c r="C110" t="s">
        <v>118</v>
      </c>
      <c r="D110" t="s">
        <v>118</v>
      </c>
      <c r="E110" t="s">
        <v>147</v>
      </c>
      <c r="F110" s="3">
        <v>18</v>
      </c>
      <c r="G110" s="2">
        <v>0.15</v>
      </c>
      <c r="H110" s="3">
        <f t="shared" si="20"/>
        <v>20.7</v>
      </c>
      <c r="I110">
        <v>240</v>
      </c>
      <c r="J110" s="4">
        <f t="shared" si="21"/>
        <v>1.38</v>
      </c>
      <c r="K110" s="1">
        <f t="shared" si="22"/>
        <v>1</v>
      </c>
      <c r="L110" t="s">
        <v>81</v>
      </c>
      <c r="M110" s="4">
        <f t="shared" si="19"/>
        <v>1</v>
      </c>
      <c r="N110" s="9"/>
    </row>
    <row r="111" spans="2:14" x14ac:dyDescent="0.25">
      <c r="B111" t="s">
        <v>8</v>
      </c>
      <c r="C111" t="s">
        <v>118</v>
      </c>
      <c r="D111" t="s">
        <v>118</v>
      </c>
      <c r="E111" t="s">
        <v>148</v>
      </c>
      <c r="F111" s="3">
        <v>16</v>
      </c>
      <c r="G111" s="2">
        <v>0.15</v>
      </c>
      <c r="H111" s="3">
        <f t="shared" si="20"/>
        <v>18.399999999999999</v>
      </c>
      <c r="I111">
        <v>240</v>
      </c>
      <c r="J111" s="4">
        <f t="shared" si="21"/>
        <v>1.2266666666666666</v>
      </c>
      <c r="K111" s="1">
        <f t="shared" si="22"/>
        <v>1</v>
      </c>
      <c r="L111" t="s">
        <v>168</v>
      </c>
      <c r="M111" s="4">
        <f t="shared" si="19"/>
        <v>1</v>
      </c>
      <c r="N111" s="9"/>
    </row>
    <row r="112" spans="2:14" x14ac:dyDescent="0.25">
      <c r="B112" t="s">
        <v>8</v>
      </c>
      <c r="C112" t="s">
        <v>118</v>
      </c>
      <c r="D112" t="s">
        <v>118</v>
      </c>
      <c r="E112" t="s">
        <v>149</v>
      </c>
      <c r="F112" s="3">
        <v>26</v>
      </c>
      <c r="G112" s="2">
        <v>0.15</v>
      </c>
      <c r="H112" s="3">
        <f t="shared" si="20"/>
        <v>29.9</v>
      </c>
      <c r="I112">
        <v>240</v>
      </c>
      <c r="J112" s="4">
        <f t="shared" si="21"/>
        <v>1.9933333333333332</v>
      </c>
      <c r="K112" s="1">
        <f t="shared" si="22"/>
        <v>2</v>
      </c>
      <c r="L112" t="s">
        <v>81</v>
      </c>
      <c r="M112" s="4">
        <f t="shared" si="19"/>
        <v>2</v>
      </c>
      <c r="N112" s="9"/>
    </row>
    <row r="113" spans="2:14" x14ac:dyDescent="0.25">
      <c r="B113" t="s">
        <v>8</v>
      </c>
      <c r="C113" t="s">
        <v>118</v>
      </c>
      <c r="D113" t="s">
        <v>118</v>
      </c>
      <c r="E113" t="s">
        <v>150</v>
      </c>
      <c r="F113" s="3">
        <v>18</v>
      </c>
      <c r="G113" s="2">
        <v>0.15</v>
      </c>
      <c r="H113" s="3">
        <f t="shared" si="20"/>
        <v>20.7</v>
      </c>
      <c r="I113">
        <v>240</v>
      </c>
      <c r="J113" s="4">
        <f t="shared" si="21"/>
        <v>1.38</v>
      </c>
      <c r="K113" s="1">
        <f t="shared" si="22"/>
        <v>1</v>
      </c>
      <c r="L113" t="s">
        <v>169</v>
      </c>
      <c r="M113" s="4">
        <f t="shared" si="19"/>
        <v>1</v>
      </c>
      <c r="N113" s="9"/>
    </row>
    <row r="114" spans="2:14" x14ac:dyDescent="0.25">
      <c r="B114" t="s">
        <v>8</v>
      </c>
      <c r="C114" t="s">
        <v>118</v>
      </c>
      <c r="D114" t="s">
        <v>118</v>
      </c>
      <c r="E114" t="s">
        <v>151</v>
      </c>
      <c r="F114" s="3">
        <v>45.8</v>
      </c>
      <c r="G114" s="2">
        <v>0.15</v>
      </c>
      <c r="H114" s="3">
        <f t="shared" si="20"/>
        <v>52.669999999999995</v>
      </c>
      <c r="I114">
        <v>240</v>
      </c>
      <c r="J114" s="4">
        <f t="shared" si="21"/>
        <v>3.511333333333333</v>
      </c>
      <c r="K114" s="1">
        <f t="shared" si="22"/>
        <v>4</v>
      </c>
      <c r="L114" t="s">
        <v>81</v>
      </c>
      <c r="M114" s="4">
        <f t="shared" si="19"/>
        <v>4</v>
      </c>
      <c r="N114" s="9"/>
    </row>
    <row r="115" spans="2:14" x14ac:dyDescent="0.25">
      <c r="B115" t="s">
        <v>8</v>
      </c>
      <c r="C115" t="s">
        <v>118</v>
      </c>
      <c r="D115" t="s">
        <v>118</v>
      </c>
      <c r="E115" t="s">
        <v>152</v>
      </c>
      <c r="F115" s="3"/>
      <c r="G115" s="2">
        <v>0.15</v>
      </c>
      <c r="H115" s="3">
        <f t="shared" si="20"/>
        <v>0</v>
      </c>
      <c r="I115">
        <v>240</v>
      </c>
      <c r="J115" s="4">
        <f t="shared" si="21"/>
        <v>0</v>
      </c>
      <c r="K115" s="1" t="str">
        <f t="shared" si="22"/>
        <v>NA</v>
      </c>
      <c r="L115" t="s">
        <v>170</v>
      </c>
      <c r="M115" s="4" t="str">
        <f t="shared" si="19"/>
        <v>NA</v>
      </c>
      <c r="N115" s="9"/>
    </row>
    <row r="116" spans="2:14" x14ac:dyDescent="0.25">
      <c r="B116" t="s">
        <v>8</v>
      </c>
      <c r="C116" t="s">
        <v>118</v>
      </c>
      <c r="D116" t="s">
        <v>118</v>
      </c>
      <c r="E116" t="s">
        <v>153</v>
      </c>
      <c r="F116" s="3"/>
      <c r="G116" s="2">
        <v>0.15</v>
      </c>
      <c r="H116" s="3">
        <f t="shared" si="20"/>
        <v>0</v>
      </c>
      <c r="I116">
        <v>240</v>
      </c>
      <c r="J116" s="4">
        <f t="shared" si="21"/>
        <v>0</v>
      </c>
      <c r="K116" s="1" t="str">
        <f t="shared" si="22"/>
        <v>NA</v>
      </c>
      <c r="L116" t="s">
        <v>171</v>
      </c>
      <c r="M116" s="4" t="str">
        <f t="shared" si="19"/>
        <v>NA</v>
      </c>
      <c r="N116" s="9"/>
    </row>
    <row r="117" spans="2:14" x14ac:dyDescent="0.25">
      <c r="B117" t="s">
        <v>8</v>
      </c>
      <c r="C117" t="s">
        <v>118</v>
      </c>
      <c r="D117" t="s">
        <v>118</v>
      </c>
      <c r="E117" t="s">
        <v>154</v>
      </c>
      <c r="F117" s="3">
        <v>14.202000000000002</v>
      </c>
      <c r="G117" s="2">
        <v>0.15</v>
      </c>
      <c r="H117" s="3">
        <f t="shared" si="20"/>
        <v>16.332300000000004</v>
      </c>
      <c r="I117">
        <v>240</v>
      </c>
      <c r="J117" s="4">
        <f t="shared" si="21"/>
        <v>1.0888200000000003</v>
      </c>
      <c r="K117" s="1">
        <f t="shared" si="22"/>
        <v>1</v>
      </c>
      <c r="L117" t="s">
        <v>81</v>
      </c>
      <c r="M117" s="4">
        <f t="shared" si="19"/>
        <v>1</v>
      </c>
      <c r="N117" s="9"/>
    </row>
    <row r="118" spans="2:14" x14ac:dyDescent="0.25">
      <c r="B118" t="s">
        <v>8</v>
      </c>
      <c r="C118" t="s">
        <v>118</v>
      </c>
      <c r="D118" t="s">
        <v>118</v>
      </c>
      <c r="E118" t="s">
        <v>155</v>
      </c>
      <c r="F118" s="3">
        <v>13.2</v>
      </c>
      <c r="G118" s="2">
        <v>0.15</v>
      </c>
      <c r="H118" s="3">
        <f t="shared" si="20"/>
        <v>15.18</v>
      </c>
      <c r="I118">
        <v>240</v>
      </c>
      <c r="J118" s="4">
        <f t="shared" si="21"/>
        <v>1.012</v>
      </c>
      <c r="K118" s="1">
        <f t="shared" si="22"/>
        <v>1</v>
      </c>
      <c r="L118" t="s">
        <v>81</v>
      </c>
      <c r="M118" s="4">
        <f t="shared" si="19"/>
        <v>1</v>
      </c>
      <c r="N118" s="9"/>
    </row>
    <row r="119" spans="2:14" x14ac:dyDescent="0.25">
      <c r="B119" t="s">
        <v>8</v>
      </c>
      <c r="C119" t="s">
        <v>118</v>
      </c>
      <c r="D119" t="s">
        <v>118</v>
      </c>
      <c r="E119" t="s">
        <v>156</v>
      </c>
      <c r="F119" s="3">
        <v>13.5</v>
      </c>
      <c r="G119" s="2">
        <v>0.15</v>
      </c>
      <c r="H119" s="3">
        <f t="shared" si="20"/>
        <v>15.525</v>
      </c>
      <c r="I119">
        <v>240</v>
      </c>
      <c r="J119" s="4">
        <f t="shared" si="21"/>
        <v>1.0349999999999999</v>
      </c>
      <c r="K119" s="1">
        <f t="shared" si="22"/>
        <v>1</v>
      </c>
      <c r="L119" t="s">
        <v>81</v>
      </c>
      <c r="M119" s="4">
        <f t="shared" si="19"/>
        <v>1</v>
      </c>
      <c r="N119" s="9"/>
    </row>
    <row r="120" spans="2:14" x14ac:dyDescent="0.25">
      <c r="B120" t="s">
        <v>8</v>
      </c>
      <c r="C120" t="s">
        <v>172</v>
      </c>
      <c r="D120" t="s">
        <v>173</v>
      </c>
      <c r="E120" t="s">
        <v>174</v>
      </c>
      <c r="F120" s="3">
        <v>12</v>
      </c>
      <c r="G120" s="2">
        <v>0.15</v>
      </c>
      <c r="H120" s="3">
        <f t="shared" ref="H120" si="23">+F120+(F120*G120)</f>
        <v>13.8</v>
      </c>
      <c r="I120">
        <v>240</v>
      </c>
      <c r="J120" s="4">
        <f t="shared" ref="J120" si="24">+H120/(3600/I120)</f>
        <v>0.92</v>
      </c>
      <c r="K120" s="1">
        <f t="shared" si="22"/>
        <v>1</v>
      </c>
      <c r="L120" t="s">
        <v>176</v>
      </c>
      <c r="M120" s="4">
        <v>1</v>
      </c>
      <c r="N120" s="8"/>
    </row>
    <row r="121" spans="2:14" x14ac:dyDescent="0.25">
      <c r="B121" t="s">
        <v>8</v>
      </c>
      <c r="C121" t="s">
        <v>172</v>
      </c>
      <c r="D121" t="s">
        <v>173</v>
      </c>
      <c r="E121" t="s">
        <v>174</v>
      </c>
      <c r="F121" s="3">
        <v>30</v>
      </c>
      <c r="G121" s="2">
        <v>0.15</v>
      </c>
      <c r="H121" s="3">
        <f t="shared" ref="H121" si="25">+F121+(F121*G121)</f>
        <v>34.5</v>
      </c>
      <c r="I121">
        <v>240</v>
      </c>
      <c r="J121" s="4">
        <f t="shared" ref="J121" si="26">+H121/(3600/I121)</f>
        <v>2.2999999999999998</v>
      </c>
      <c r="K121" s="1">
        <f t="shared" si="22"/>
        <v>2</v>
      </c>
      <c r="L121" t="s">
        <v>177</v>
      </c>
      <c r="M121" s="4">
        <v>2</v>
      </c>
      <c r="N121" s="8"/>
    </row>
    <row r="122" spans="2:14" x14ac:dyDescent="0.25">
      <c r="B122" t="s">
        <v>8</v>
      </c>
      <c r="C122" t="s">
        <v>172</v>
      </c>
      <c r="D122" t="s">
        <v>173</v>
      </c>
      <c r="E122" t="s">
        <v>175</v>
      </c>
      <c r="F122" s="3">
        <v>14</v>
      </c>
      <c r="G122" s="2">
        <v>0.15</v>
      </c>
      <c r="H122" s="3">
        <f>+F122+(F122*G122)</f>
        <v>16.100000000000001</v>
      </c>
      <c r="I122">
        <v>240</v>
      </c>
      <c r="J122" s="4">
        <f>+H122/(3600/I122)</f>
        <v>1.0733333333333335</v>
      </c>
      <c r="K122" s="1">
        <f>IF(SUM(J122:J122)=0,"NA",IF(SUM(J122:J122)&lt;1,1,IF(MOD(SUM(J122:J122),1)&gt;=0.5,ROUNDUP(SUM(J122:J122),0),ROUNDDOWN(SUM(J122:J122),0))))</f>
        <v>1</v>
      </c>
      <c r="L122" t="s">
        <v>178</v>
      </c>
      <c r="M122" s="4">
        <v>1</v>
      </c>
      <c r="N122" s="8"/>
    </row>
    <row r="123" spans="2:14" x14ac:dyDescent="0.25">
      <c r="B123" t="s">
        <v>8</v>
      </c>
      <c r="C123" t="s">
        <v>172</v>
      </c>
      <c r="D123" t="s">
        <v>187</v>
      </c>
      <c r="E123" t="s">
        <v>179</v>
      </c>
      <c r="F123" s="10">
        <v>4</v>
      </c>
      <c r="G123" s="2">
        <v>0.15</v>
      </c>
      <c r="H123" s="3">
        <f t="shared" ref="H123:H131" si="27">+F123+(F123*G123)</f>
        <v>4.5999999999999996</v>
      </c>
      <c r="I123">
        <v>240</v>
      </c>
      <c r="J123" s="4">
        <f t="shared" ref="J123:J131" si="28">+H123/(3600/I123)</f>
        <v>0.30666666666666664</v>
      </c>
      <c r="K123" s="1">
        <f t="shared" ref="K123:K186" si="29">IF(SUM(J123:J123)=0,"NA",IF(SUM(J123:J123)&lt;1,1,IF(MOD(SUM(J123:J123),1)&gt;=0.5,ROUNDUP(SUM(J123:J123),0),ROUNDDOWN(SUM(J123:J123),0))))</f>
        <v>1</v>
      </c>
      <c r="L123" t="s">
        <v>188</v>
      </c>
      <c r="M123" s="4">
        <v>1</v>
      </c>
      <c r="N123" s="8"/>
    </row>
    <row r="124" spans="2:14" x14ac:dyDescent="0.25">
      <c r="B124" t="s">
        <v>8</v>
      </c>
      <c r="C124" t="s">
        <v>172</v>
      </c>
      <c r="D124" t="s">
        <v>187</v>
      </c>
      <c r="E124" t="s">
        <v>180</v>
      </c>
      <c r="F124" s="10">
        <v>4</v>
      </c>
      <c r="G124" s="2">
        <v>0.15</v>
      </c>
      <c r="H124" s="3">
        <f t="shared" si="27"/>
        <v>4.5999999999999996</v>
      </c>
      <c r="I124">
        <v>240</v>
      </c>
      <c r="J124" s="4">
        <f t="shared" si="28"/>
        <v>0.30666666666666664</v>
      </c>
      <c r="K124" s="1">
        <f t="shared" si="29"/>
        <v>1</v>
      </c>
      <c r="M124" s="4"/>
      <c r="N124" s="8"/>
    </row>
    <row r="125" spans="2:14" x14ac:dyDescent="0.25">
      <c r="B125" t="s">
        <v>8</v>
      </c>
      <c r="C125" t="s">
        <v>172</v>
      </c>
      <c r="D125" t="s">
        <v>187</v>
      </c>
      <c r="E125" t="s">
        <v>181</v>
      </c>
      <c r="F125" s="10">
        <v>4</v>
      </c>
      <c r="G125" s="2">
        <v>0.15</v>
      </c>
      <c r="H125" s="3">
        <f t="shared" si="27"/>
        <v>4.5999999999999996</v>
      </c>
      <c r="I125">
        <v>240</v>
      </c>
      <c r="J125" s="4">
        <f t="shared" si="28"/>
        <v>0.30666666666666664</v>
      </c>
      <c r="K125" s="1">
        <f t="shared" si="29"/>
        <v>1</v>
      </c>
      <c r="M125" s="4"/>
      <c r="N125" s="8"/>
    </row>
    <row r="126" spans="2:14" x14ac:dyDescent="0.25">
      <c r="B126" t="s">
        <v>8</v>
      </c>
      <c r="C126" t="s">
        <v>172</v>
      </c>
      <c r="D126" t="s">
        <v>187</v>
      </c>
      <c r="E126" t="s">
        <v>182</v>
      </c>
      <c r="F126" s="10"/>
      <c r="G126" s="2">
        <v>0.15</v>
      </c>
      <c r="H126" s="3">
        <f t="shared" si="27"/>
        <v>0</v>
      </c>
      <c r="I126">
        <v>240</v>
      </c>
      <c r="J126" s="4">
        <f t="shared" si="28"/>
        <v>0</v>
      </c>
      <c r="K126" s="1" t="str">
        <f t="shared" si="29"/>
        <v>NA</v>
      </c>
      <c r="L126" t="s">
        <v>182</v>
      </c>
      <c r="M126" s="4">
        <v>1</v>
      </c>
      <c r="N126" s="8"/>
    </row>
    <row r="127" spans="2:14" x14ac:dyDescent="0.25">
      <c r="B127" t="s">
        <v>8</v>
      </c>
      <c r="C127" t="s">
        <v>172</v>
      </c>
      <c r="D127" t="s">
        <v>187</v>
      </c>
      <c r="E127" t="s">
        <v>183</v>
      </c>
      <c r="F127" s="10"/>
      <c r="G127" s="2">
        <v>0.15</v>
      </c>
      <c r="H127" s="3">
        <f t="shared" si="27"/>
        <v>0</v>
      </c>
      <c r="I127">
        <v>240</v>
      </c>
      <c r="J127" s="4">
        <f t="shared" si="28"/>
        <v>0</v>
      </c>
      <c r="K127" s="1" t="str">
        <f t="shared" si="29"/>
        <v>NA</v>
      </c>
      <c r="L127" t="s">
        <v>183</v>
      </c>
      <c r="M127" s="4">
        <v>1</v>
      </c>
      <c r="N127" s="8"/>
    </row>
    <row r="128" spans="2:14" x14ac:dyDescent="0.25">
      <c r="B128" t="s">
        <v>8</v>
      </c>
      <c r="C128" t="s">
        <v>172</v>
      </c>
      <c r="D128" t="s">
        <v>187</v>
      </c>
      <c r="E128" t="s">
        <v>184</v>
      </c>
      <c r="F128" s="10">
        <v>12</v>
      </c>
      <c r="G128" s="2">
        <v>0.15</v>
      </c>
      <c r="H128" s="3">
        <f t="shared" si="27"/>
        <v>13.8</v>
      </c>
      <c r="I128">
        <v>240</v>
      </c>
      <c r="J128" s="4">
        <f t="shared" si="28"/>
        <v>0.92</v>
      </c>
      <c r="K128" s="1">
        <f t="shared" si="29"/>
        <v>1</v>
      </c>
      <c r="L128" t="s">
        <v>81</v>
      </c>
      <c r="M128" s="4">
        <v>0</v>
      </c>
      <c r="N128" s="8"/>
    </row>
    <row r="129" spans="2:14" x14ac:dyDescent="0.25">
      <c r="B129" t="s">
        <v>8</v>
      </c>
      <c r="C129" t="s">
        <v>172</v>
      </c>
      <c r="D129" t="s">
        <v>187</v>
      </c>
      <c r="E129" t="s">
        <v>183</v>
      </c>
      <c r="F129" s="10"/>
      <c r="G129" s="2">
        <v>0.15</v>
      </c>
      <c r="H129" s="3">
        <f t="shared" si="27"/>
        <v>0</v>
      </c>
      <c r="I129">
        <v>240</v>
      </c>
      <c r="J129" s="4">
        <f t="shared" si="28"/>
        <v>0</v>
      </c>
      <c r="K129" s="1" t="str">
        <f t="shared" si="29"/>
        <v>NA</v>
      </c>
      <c r="L129" t="s">
        <v>183</v>
      </c>
      <c r="M129" s="4">
        <v>1</v>
      </c>
      <c r="N129" s="8"/>
    </row>
    <row r="130" spans="2:14" x14ac:dyDescent="0.25">
      <c r="B130" t="s">
        <v>8</v>
      </c>
      <c r="C130" t="s">
        <v>172</v>
      </c>
      <c r="D130" t="s">
        <v>187</v>
      </c>
      <c r="E130" t="s">
        <v>185</v>
      </c>
      <c r="F130" s="10"/>
      <c r="G130" s="2">
        <v>0.15</v>
      </c>
      <c r="H130" s="3">
        <f t="shared" si="27"/>
        <v>0</v>
      </c>
      <c r="I130">
        <v>240</v>
      </c>
      <c r="J130" s="4">
        <f t="shared" si="28"/>
        <v>0</v>
      </c>
      <c r="K130" s="1" t="str">
        <f t="shared" si="29"/>
        <v>NA</v>
      </c>
      <c r="L130" t="s">
        <v>81</v>
      </c>
      <c r="M130" s="4">
        <v>0</v>
      </c>
      <c r="N130" s="8"/>
    </row>
    <row r="131" spans="2:14" x14ac:dyDescent="0.25">
      <c r="B131" t="s">
        <v>8</v>
      </c>
      <c r="C131" t="s">
        <v>172</v>
      </c>
      <c r="D131" t="s">
        <v>187</v>
      </c>
      <c r="E131" t="s">
        <v>186</v>
      </c>
      <c r="F131" s="10"/>
      <c r="G131" s="2">
        <v>0.15</v>
      </c>
      <c r="H131" s="3">
        <f t="shared" si="27"/>
        <v>0</v>
      </c>
      <c r="I131">
        <v>240</v>
      </c>
      <c r="J131" s="4">
        <f t="shared" si="28"/>
        <v>0</v>
      </c>
      <c r="K131" s="1" t="str">
        <f t="shared" si="29"/>
        <v>NA</v>
      </c>
      <c r="L131" t="s">
        <v>170</v>
      </c>
      <c r="M131" s="4">
        <v>1</v>
      </c>
      <c r="N131" s="8"/>
    </row>
    <row r="132" spans="2:14" x14ac:dyDescent="0.25">
      <c r="B132" t="s">
        <v>8</v>
      </c>
      <c r="C132" t="s">
        <v>172</v>
      </c>
      <c r="D132" t="s">
        <v>198</v>
      </c>
      <c r="E132" t="s">
        <v>189</v>
      </c>
      <c r="F132">
        <v>4</v>
      </c>
      <c r="G132" s="2">
        <v>0.15</v>
      </c>
      <c r="H132" s="3">
        <f t="shared" ref="H132:H142" si="30">+F132+(F132*G132)</f>
        <v>4.5999999999999996</v>
      </c>
      <c r="I132">
        <v>240</v>
      </c>
      <c r="J132" s="4">
        <f t="shared" ref="J132:J142" si="31">+H132/(3600/I132)</f>
        <v>0.30666666666666664</v>
      </c>
      <c r="K132" s="1">
        <f t="shared" si="29"/>
        <v>1</v>
      </c>
      <c r="L132" t="s">
        <v>199</v>
      </c>
      <c r="M132" s="4">
        <v>1</v>
      </c>
      <c r="N132" s="8"/>
    </row>
    <row r="133" spans="2:14" x14ac:dyDescent="0.25">
      <c r="B133" t="s">
        <v>8</v>
      </c>
      <c r="C133" t="s">
        <v>172</v>
      </c>
      <c r="D133" t="s">
        <v>198</v>
      </c>
      <c r="E133" t="s">
        <v>190</v>
      </c>
      <c r="F133">
        <v>4</v>
      </c>
      <c r="G133" s="2">
        <v>0.15</v>
      </c>
      <c r="H133" s="3">
        <f t="shared" si="30"/>
        <v>4.5999999999999996</v>
      </c>
      <c r="I133">
        <v>240</v>
      </c>
      <c r="J133" s="4">
        <f t="shared" si="31"/>
        <v>0.30666666666666664</v>
      </c>
      <c r="K133" s="1">
        <f t="shared" si="29"/>
        <v>1</v>
      </c>
      <c r="M133" s="4"/>
      <c r="N133" s="8"/>
    </row>
    <row r="134" spans="2:14" x14ac:dyDescent="0.25">
      <c r="B134" t="s">
        <v>8</v>
      </c>
      <c r="C134" t="s">
        <v>172</v>
      </c>
      <c r="D134" t="s">
        <v>198</v>
      </c>
      <c r="E134" t="s">
        <v>182</v>
      </c>
      <c r="F134" t="s">
        <v>157</v>
      </c>
      <c r="G134" s="2">
        <v>0.15</v>
      </c>
      <c r="H134" s="3" t="e">
        <f t="shared" si="30"/>
        <v>#VALUE!</v>
      </c>
      <c r="I134">
        <v>240</v>
      </c>
      <c r="J134" s="4" t="e">
        <f t="shared" si="31"/>
        <v>#VALUE!</v>
      </c>
      <c r="K134" s="1" t="e">
        <f t="shared" si="29"/>
        <v>#VALUE!</v>
      </c>
      <c r="L134" t="s">
        <v>182</v>
      </c>
      <c r="M134" s="4">
        <v>1</v>
      </c>
      <c r="N134" s="8"/>
    </row>
    <row r="135" spans="2:14" x14ac:dyDescent="0.25">
      <c r="B135" t="s">
        <v>8</v>
      </c>
      <c r="C135" t="s">
        <v>172</v>
      </c>
      <c r="D135" t="s">
        <v>198</v>
      </c>
      <c r="E135" t="s">
        <v>191</v>
      </c>
      <c r="F135">
        <v>30</v>
      </c>
      <c r="G135" s="2">
        <v>0.15</v>
      </c>
      <c r="H135" s="3">
        <f t="shared" si="30"/>
        <v>34.5</v>
      </c>
      <c r="I135">
        <v>240</v>
      </c>
      <c r="J135" s="4">
        <f t="shared" si="31"/>
        <v>2.2999999999999998</v>
      </c>
      <c r="K135" s="1">
        <f t="shared" si="29"/>
        <v>2</v>
      </c>
      <c r="L135" t="s">
        <v>81</v>
      </c>
      <c r="M135" s="4">
        <v>0</v>
      </c>
      <c r="N135" s="8"/>
    </row>
    <row r="136" spans="2:14" x14ac:dyDescent="0.25">
      <c r="B136" t="s">
        <v>8</v>
      </c>
      <c r="C136" t="s">
        <v>172</v>
      </c>
      <c r="D136" t="s">
        <v>198</v>
      </c>
      <c r="E136" t="s">
        <v>192</v>
      </c>
      <c r="F136" t="s">
        <v>157</v>
      </c>
      <c r="G136" s="2">
        <v>0.15</v>
      </c>
      <c r="H136" s="3" t="e">
        <f t="shared" si="30"/>
        <v>#VALUE!</v>
      </c>
      <c r="I136">
        <v>240</v>
      </c>
      <c r="J136" s="4" t="e">
        <f t="shared" si="31"/>
        <v>#VALUE!</v>
      </c>
      <c r="K136" s="1" t="e">
        <f t="shared" si="29"/>
        <v>#VALUE!</v>
      </c>
      <c r="L136" t="s">
        <v>183</v>
      </c>
      <c r="M136" s="4">
        <v>1</v>
      </c>
      <c r="N136" s="8"/>
    </row>
    <row r="137" spans="2:14" x14ac:dyDescent="0.25">
      <c r="B137" t="s">
        <v>8</v>
      </c>
      <c r="C137" t="s">
        <v>172</v>
      </c>
      <c r="D137" t="s">
        <v>198</v>
      </c>
      <c r="E137" t="s">
        <v>193</v>
      </c>
      <c r="F137">
        <v>20</v>
      </c>
      <c r="G137" s="2">
        <v>0.15</v>
      </c>
      <c r="H137" s="3">
        <f t="shared" si="30"/>
        <v>23</v>
      </c>
      <c r="I137">
        <v>240</v>
      </c>
      <c r="J137" s="4">
        <f t="shared" si="31"/>
        <v>1.5333333333333334</v>
      </c>
      <c r="K137" s="1">
        <f t="shared" si="29"/>
        <v>2</v>
      </c>
      <c r="L137" t="s">
        <v>81</v>
      </c>
      <c r="M137" s="4">
        <v>0</v>
      </c>
      <c r="N137" s="8"/>
    </row>
    <row r="138" spans="2:14" x14ac:dyDescent="0.25">
      <c r="B138" t="s">
        <v>8</v>
      </c>
      <c r="C138" t="s">
        <v>172</v>
      </c>
      <c r="D138" t="s">
        <v>198</v>
      </c>
      <c r="E138" t="s">
        <v>192</v>
      </c>
      <c r="F138" t="s">
        <v>157</v>
      </c>
      <c r="G138" s="2">
        <v>0.15</v>
      </c>
      <c r="H138" s="3" t="e">
        <f t="shared" si="30"/>
        <v>#VALUE!</v>
      </c>
      <c r="I138">
        <v>240</v>
      </c>
      <c r="J138" s="4" t="e">
        <f t="shared" si="31"/>
        <v>#VALUE!</v>
      </c>
      <c r="K138" s="1" t="e">
        <f t="shared" si="29"/>
        <v>#VALUE!</v>
      </c>
      <c r="L138" t="s">
        <v>183</v>
      </c>
      <c r="M138" s="4">
        <v>1</v>
      </c>
      <c r="N138" s="8"/>
    </row>
    <row r="139" spans="2:14" x14ac:dyDescent="0.25">
      <c r="B139" t="s">
        <v>8</v>
      </c>
      <c r="C139" t="s">
        <v>172</v>
      </c>
      <c r="D139" t="s">
        <v>198</v>
      </c>
      <c r="E139" t="s">
        <v>194</v>
      </c>
      <c r="F139" t="s">
        <v>157</v>
      </c>
      <c r="G139" s="2">
        <v>0.15</v>
      </c>
      <c r="H139" s="3" t="e">
        <f t="shared" si="30"/>
        <v>#VALUE!</v>
      </c>
      <c r="I139">
        <v>240</v>
      </c>
      <c r="J139" s="4" t="e">
        <f t="shared" si="31"/>
        <v>#VALUE!</v>
      </c>
      <c r="K139" s="1" t="e">
        <f t="shared" si="29"/>
        <v>#VALUE!</v>
      </c>
      <c r="L139" t="s">
        <v>81</v>
      </c>
      <c r="M139" s="4">
        <v>0</v>
      </c>
      <c r="N139" s="8"/>
    </row>
    <row r="140" spans="2:14" x14ac:dyDescent="0.25">
      <c r="B140" t="s">
        <v>8</v>
      </c>
      <c r="C140" t="s">
        <v>172</v>
      </c>
      <c r="D140" t="s">
        <v>198</v>
      </c>
      <c r="E140" t="s">
        <v>195</v>
      </c>
      <c r="F140" t="s">
        <v>157</v>
      </c>
      <c r="G140" s="2">
        <v>0.15</v>
      </c>
      <c r="H140" s="3" t="e">
        <f t="shared" si="30"/>
        <v>#VALUE!</v>
      </c>
      <c r="I140">
        <v>240</v>
      </c>
      <c r="J140" s="4" t="e">
        <f t="shared" si="31"/>
        <v>#VALUE!</v>
      </c>
      <c r="K140" s="1" t="e">
        <f t="shared" si="29"/>
        <v>#VALUE!</v>
      </c>
      <c r="L140" t="s">
        <v>200</v>
      </c>
      <c r="M140" s="4">
        <v>1</v>
      </c>
      <c r="N140" s="8"/>
    </row>
    <row r="141" spans="2:14" x14ac:dyDescent="0.25">
      <c r="B141" t="s">
        <v>8</v>
      </c>
      <c r="C141" t="s">
        <v>172</v>
      </c>
      <c r="D141" t="s">
        <v>198</v>
      </c>
      <c r="E141" t="s">
        <v>196</v>
      </c>
      <c r="F141" t="s">
        <v>157</v>
      </c>
      <c r="G141" s="2">
        <v>0.15</v>
      </c>
      <c r="H141" s="3" t="e">
        <f t="shared" si="30"/>
        <v>#VALUE!</v>
      </c>
      <c r="I141">
        <v>240</v>
      </c>
      <c r="J141" s="4" t="e">
        <f t="shared" si="31"/>
        <v>#VALUE!</v>
      </c>
      <c r="K141" s="1" t="e">
        <f t="shared" si="29"/>
        <v>#VALUE!</v>
      </c>
      <c r="L141" t="s">
        <v>201</v>
      </c>
      <c r="M141" s="4">
        <v>1</v>
      </c>
      <c r="N141" s="8"/>
    </row>
    <row r="142" spans="2:14" x14ac:dyDescent="0.25">
      <c r="B142" t="s">
        <v>8</v>
      </c>
      <c r="C142" t="s">
        <v>172</v>
      </c>
      <c r="D142" t="s">
        <v>198</v>
      </c>
      <c r="E142" t="s">
        <v>197</v>
      </c>
      <c r="F142">
        <v>7.68</v>
      </c>
      <c r="G142" s="2">
        <v>0.15</v>
      </c>
      <c r="H142" s="3">
        <f t="shared" si="30"/>
        <v>8.831999999999999</v>
      </c>
      <c r="I142">
        <v>240</v>
      </c>
      <c r="J142" s="4">
        <f t="shared" si="31"/>
        <v>0.58879999999999988</v>
      </c>
      <c r="K142" s="1">
        <f t="shared" si="29"/>
        <v>1</v>
      </c>
      <c r="L142" t="s">
        <v>81</v>
      </c>
      <c r="M142" s="4">
        <v>0</v>
      </c>
      <c r="N142" s="8"/>
    </row>
    <row r="143" spans="2:14" x14ac:dyDescent="0.25">
      <c r="B143" t="s">
        <v>8</v>
      </c>
      <c r="C143" t="s">
        <v>172</v>
      </c>
      <c r="D143" t="s">
        <v>213</v>
      </c>
      <c r="E143" t="s">
        <v>202</v>
      </c>
      <c r="F143">
        <v>4</v>
      </c>
      <c r="G143" s="2">
        <v>0.15</v>
      </c>
      <c r="H143" s="3">
        <f t="shared" ref="H143:H158" si="32">+F143+(F143*G143)</f>
        <v>4.5999999999999996</v>
      </c>
      <c r="I143">
        <v>240</v>
      </c>
      <c r="J143" s="4">
        <f t="shared" ref="J143:J158" si="33">+H143/(3600/I143)</f>
        <v>0.30666666666666664</v>
      </c>
      <c r="K143" s="1">
        <f t="shared" si="29"/>
        <v>1</v>
      </c>
      <c r="L143" t="s">
        <v>81</v>
      </c>
      <c r="M143" s="4">
        <v>0</v>
      </c>
      <c r="N143" s="8"/>
    </row>
    <row r="144" spans="2:14" x14ac:dyDescent="0.25">
      <c r="B144" t="s">
        <v>8</v>
      </c>
      <c r="C144" t="s">
        <v>172</v>
      </c>
      <c r="D144" t="s">
        <v>213</v>
      </c>
      <c r="E144" t="s">
        <v>203</v>
      </c>
      <c r="F144" t="s">
        <v>157</v>
      </c>
      <c r="G144" s="2">
        <v>0.15</v>
      </c>
      <c r="H144" s="3" t="e">
        <f t="shared" si="32"/>
        <v>#VALUE!</v>
      </c>
      <c r="I144">
        <v>240</v>
      </c>
      <c r="J144" s="4" t="e">
        <f t="shared" si="33"/>
        <v>#VALUE!</v>
      </c>
      <c r="K144" s="1" t="e">
        <f t="shared" si="29"/>
        <v>#VALUE!</v>
      </c>
      <c r="L144" t="s">
        <v>203</v>
      </c>
      <c r="M144" s="4">
        <v>1</v>
      </c>
      <c r="N144" s="8"/>
    </row>
    <row r="145" spans="2:14" x14ac:dyDescent="0.25">
      <c r="B145" t="s">
        <v>8</v>
      </c>
      <c r="C145" t="s">
        <v>172</v>
      </c>
      <c r="D145" t="s">
        <v>213</v>
      </c>
      <c r="E145" t="s">
        <v>204</v>
      </c>
      <c r="F145">
        <v>72</v>
      </c>
      <c r="G145" s="2">
        <v>0.15</v>
      </c>
      <c r="H145" s="3">
        <f t="shared" si="32"/>
        <v>82.8</v>
      </c>
      <c r="I145">
        <v>240</v>
      </c>
      <c r="J145" s="4">
        <f t="shared" si="33"/>
        <v>5.52</v>
      </c>
      <c r="K145" s="1">
        <f t="shared" si="29"/>
        <v>6</v>
      </c>
      <c r="L145" t="s">
        <v>81</v>
      </c>
      <c r="M145" s="4">
        <v>0</v>
      </c>
      <c r="N145" s="8"/>
    </row>
    <row r="146" spans="2:14" x14ac:dyDescent="0.25">
      <c r="B146" t="s">
        <v>8</v>
      </c>
      <c r="C146" t="s">
        <v>172</v>
      </c>
      <c r="D146" t="s">
        <v>213</v>
      </c>
      <c r="E146" t="s">
        <v>192</v>
      </c>
      <c r="F146" t="s">
        <v>157</v>
      </c>
      <c r="G146" s="2">
        <v>0.15</v>
      </c>
      <c r="H146" s="3" t="e">
        <f t="shared" si="32"/>
        <v>#VALUE!</v>
      </c>
      <c r="I146">
        <v>240</v>
      </c>
      <c r="J146" s="4" t="e">
        <f t="shared" si="33"/>
        <v>#VALUE!</v>
      </c>
      <c r="K146" s="1" t="e">
        <f t="shared" si="29"/>
        <v>#VALUE!</v>
      </c>
      <c r="L146" t="s">
        <v>183</v>
      </c>
      <c r="M146" s="4">
        <v>1</v>
      </c>
      <c r="N146" s="8"/>
    </row>
    <row r="147" spans="2:14" x14ac:dyDescent="0.25">
      <c r="B147" t="s">
        <v>8</v>
      </c>
      <c r="C147" t="s">
        <v>172</v>
      </c>
      <c r="D147" t="s">
        <v>213</v>
      </c>
      <c r="E147" t="s">
        <v>205</v>
      </c>
      <c r="F147">
        <v>20</v>
      </c>
      <c r="G147" s="2">
        <v>0.15</v>
      </c>
      <c r="H147" s="3">
        <f t="shared" si="32"/>
        <v>23</v>
      </c>
      <c r="I147">
        <v>240</v>
      </c>
      <c r="J147" s="4">
        <f t="shared" si="33"/>
        <v>1.5333333333333334</v>
      </c>
      <c r="K147" s="1">
        <f t="shared" si="29"/>
        <v>2</v>
      </c>
      <c r="L147" t="s">
        <v>214</v>
      </c>
      <c r="M147" s="4">
        <v>2</v>
      </c>
      <c r="N147" s="8"/>
    </row>
    <row r="148" spans="2:14" x14ac:dyDescent="0.25">
      <c r="B148" t="s">
        <v>8</v>
      </c>
      <c r="C148" t="s">
        <v>172</v>
      </c>
      <c r="D148" t="s">
        <v>213</v>
      </c>
      <c r="E148" t="s">
        <v>192</v>
      </c>
      <c r="F148" t="s">
        <v>157</v>
      </c>
      <c r="G148" s="2">
        <v>0.15</v>
      </c>
      <c r="H148" s="3" t="e">
        <f t="shared" si="32"/>
        <v>#VALUE!</v>
      </c>
      <c r="I148">
        <v>240</v>
      </c>
      <c r="J148" s="4" t="e">
        <f t="shared" si="33"/>
        <v>#VALUE!</v>
      </c>
      <c r="K148" s="1" t="e">
        <f t="shared" si="29"/>
        <v>#VALUE!</v>
      </c>
      <c r="L148" t="s">
        <v>183</v>
      </c>
      <c r="M148" s="4">
        <v>1</v>
      </c>
      <c r="N148" s="8"/>
    </row>
    <row r="149" spans="2:14" x14ac:dyDescent="0.25">
      <c r="B149" t="s">
        <v>8</v>
      </c>
      <c r="C149" t="s">
        <v>172</v>
      </c>
      <c r="D149" t="s">
        <v>213</v>
      </c>
      <c r="E149" t="s">
        <v>206</v>
      </c>
      <c r="F149">
        <v>72</v>
      </c>
      <c r="G149" s="2">
        <v>0.15</v>
      </c>
      <c r="H149" s="3">
        <f t="shared" si="32"/>
        <v>82.8</v>
      </c>
      <c r="I149">
        <v>240</v>
      </c>
      <c r="J149" s="4">
        <f t="shared" si="33"/>
        <v>5.52</v>
      </c>
      <c r="K149" s="1">
        <f t="shared" si="29"/>
        <v>6</v>
      </c>
      <c r="L149" t="s">
        <v>81</v>
      </c>
      <c r="M149" s="4">
        <v>0</v>
      </c>
      <c r="N149" s="8"/>
    </row>
    <row r="150" spans="2:14" x14ac:dyDescent="0.25">
      <c r="B150" t="s">
        <v>8</v>
      </c>
      <c r="C150" t="s">
        <v>172</v>
      </c>
      <c r="D150" t="s">
        <v>213</v>
      </c>
      <c r="E150" t="s">
        <v>192</v>
      </c>
      <c r="F150" t="s">
        <v>157</v>
      </c>
      <c r="G150" s="2">
        <v>0.15</v>
      </c>
      <c r="H150" s="3" t="e">
        <f t="shared" si="32"/>
        <v>#VALUE!</v>
      </c>
      <c r="I150">
        <v>240</v>
      </c>
      <c r="J150" s="4" t="e">
        <f t="shared" si="33"/>
        <v>#VALUE!</v>
      </c>
      <c r="K150" s="1" t="e">
        <f t="shared" si="29"/>
        <v>#VALUE!</v>
      </c>
      <c r="L150" t="s">
        <v>183</v>
      </c>
      <c r="M150" s="4">
        <v>1</v>
      </c>
      <c r="N150" s="8"/>
    </row>
    <row r="151" spans="2:14" x14ac:dyDescent="0.25">
      <c r="B151" t="s">
        <v>8</v>
      </c>
      <c r="C151" t="s">
        <v>172</v>
      </c>
      <c r="D151" t="s">
        <v>213</v>
      </c>
      <c r="E151" t="s">
        <v>207</v>
      </c>
      <c r="F151">
        <v>20</v>
      </c>
      <c r="G151" s="2">
        <v>0.15</v>
      </c>
      <c r="H151" s="3">
        <f t="shared" si="32"/>
        <v>23</v>
      </c>
      <c r="I151">
        <v>240</v>
      </c>
      <c r="J151" s="4">
        <f t="shared" si="33"/>
        <v>1.5333333333333334</v>
      </c>
      <c r="K151" s="1">
        <f t="shared" si="29"/>
        <v>2</v>
      </c>
      <c r="L151" t="s">
        <v>214</v>
      </c>
      <c r="M151" s="4">
        <v>2</v>
      </c>
      <c r="N151" s="8"/>
    </row>
    <row r="152" spans="2:14" x14ac:dyDescent="0.25">
      <c r="B152" t="s">
        <v>8</v>
      </c>
      <c r="C152" t="s">
        <v>172</v>
      </c>
      <c r="D152" t="s">
        <v>213</v>
      </c>
      <c r="E152" t="s">
        <v>192</v>
      </c>
      <c r="F152" t="s">
        <v>157</v>
      </c>
      <c r="G152" s="2">
        <v>0.15</v>
      </c>
      <c r="H152" s="3" t="e">
        <f t="shared" si="32"/>
        <v>#VALUE!</v>
      </c>
      <c r="I152">
        <v>240</v>
      </c>
      <c r="J152" s="4" t="e">
        <f t="shared" si="33"/>
        <v>#VALUE!</v>
      </c>
      <c r="K152" s="1" t="e">
        <f t="shared" si="29"/>
        <v>#VALUE!</v>
      </c>
      <c r="L152" t="s">
        <v>183</v>
      </c>
      <c r="M152" s="4">
        <v>1</v>
      </c>
      <c r="N152" s="8"/>
    </row>
    <row r="153" spans="2:14" x14ac:dyDescent="0.25">
      <c r="B153" t="s">
        <v>8</v>
      </c>
      <c r="C153" t="s">
        <v>172</v>
      </c>
      <c r="D153" t="s">
        <v>213</v>
      </c>
      <c r="E153" t="s">
        <v>208</v>
      </c>
      <c r="F153">
        <v>56</v>
      </c>
      <c r="G153" s="2">
        <v>0.15</v>
      </c>
      <c r="H153" s="3">
        <f t="shared" si="32"/>
        <v>64.400000000000006</v>
      </c>
      <c r="I153">
        <v>240</v>
      </c>
      <c r="J153" s="4">
        <f t="shared" si="33"/>
        <v>4.2933333333333339</v>
      </c>
      <c r="K153" s="1">
        <f t="shared" si="29"/>
        <v>4</v>
      </c>
      <c r="L153" t="s">
        <v>215</v>
      </c>
      <c r="M153" s="4">
        <v>2</v>
      </c>
      <c r="N153" s="8"/>
    </row>
    <row r="154" spans="2:14" x14ac:dyDescent="0.25">
      <c r="B154" t="s">
        <v>8</v>
      </c>
      <c r="C154" t="s">
        <v>172</v>
      </c>
      <c r="D154" t="s">
        <v>213</v>
      </c>
      <c r="E154" t="s">
        <v>192</v>
      </c>
      <c r="F154" t="s">
        <v>157</v>
      </c>
      <c r="G154" s="2">
        <v>0.15</v>
      </c>
      <c r="H154" s="3" t="e">
        <f t="shared" si="32"/>
        <v>#VALUE!</v>
      </c>
      <c r="I154">
        <v>240</v>
      </c>
      <c r="J154" s="4" t="e">
        <f t="shared" si="33"/>
        <v>#VALUE!</v>
      </c>
      <c r="K154" s="1" t="e">
        <f t="shared" si="29"/>
        <v>#VALUE!</v>
      </c>
      <c r="L154" t="s">
        <v>183</v>
      </c>
      <c r="M154" s="4">
        <v>1</v>
      </c>
      <c r="N154" s="8"/>
    </row>
    <row r="155" spans="2:14" x14ac:dyDescent="0.25">
      <c r="B155" t="s">
        <v>8</v>
      </c>
      <c r="C155" t="s">
        <v>172</v>
      </c>
      <c r="D155" t="s">
        <v>213</v>
      </c>
      <c r="E155" t="s">
        <v>209</v>
      </c>
      <c r="F155">
        <v>124.8</v>
      </c>
      <c r="G155" s="2">
        <v>0.15</v>
      </c>
      <c r="H155" s="3">
        <f t="shared" si="32"/>
        <v>143.51999999999998</v>
      </c>
      <c r="I155">
        <v>240</v>
      </c>
      <c r="J155" s="4">
        <f t="shared" si="33"/>
        <v>9.5679999999999996</v>
      </c>
      <c r="K155" s="1">
        <f t="shared" si="29"/>
        <v>10</v>
      </c>
      <c r="L155" t="s">
        <v>81</v>
      </c>
      <c r="M155" s="4">
        <v>0</v>
      </c>
      <c r="N155" s="8"/>
    </row>
    <row r="156" spans="2:14" x14ac:dyDescent="0.25">
      <c r="B156" t="s">
        <v>8</v>
      </c>
      <c r="C156" t="s">
        <v>172</v>
      </c>
      <c r="D156" t="s">
        <v>213</v>
      </c>
      <c r="E156" t="s">
        <v>210</v>
      </c>
      <c r="F156">
        <v>22.5</v>
      </c>
      <c r="G156" s="2">
        <v>0.15</v>
      </c>
      <c r="H156" s="3">
        <f t="shared" si="32"/>
        <v>25.875</v>
      </c>
      <c r="I156">
        <v>240</v>
      </c>
      <c r="J156" s="4">
        <f t="shared" si="33"/>
        <v>1.7250000000000001</v>
      </c>
      <c r="K156" s="1">
        <f t="shared" si="29"/>
        <v>2</v>
      </c>
      <c r="L156" t="s">
        <v>210</v>
      </c>
      <c r="M156" s="4">
        <v>2</v>
      </c>
      <c r="N156" s="8"/>
    </row>
    <row r="157" spans="2:14" x14ac:dyDescent="0.25">
      <c r="B157" t="s">
        <v>8</v>
      </c>
      <c r="C157" t="s">
        <v>172</v>
      </c>
      <c r="D157" t="s">
        <v>213</v>
      </c>
      <c r="E157" t="s">
        <v>211</v>
      </c>
      <c r="F157" t="s">
        <v>157</v>
      </c>
      <c r="G157" s="2">
        <v>0.15</v>
      </c>
      <c r="H157" s="3" t="e">
        <f t="shared" si="32"/>
        <v>#VALUE!</v>
      </c>
      <c r="I157">
        <v>240</v>
      </c>
      <c r="J157" s="4" t="e">
        <f t="shared" si="33"/>
        <v>#VALUE!</v>
      </c>
      <c r="K157" s="1" t="e">
        <f t="shared" si="29"/>
        <v>#VALUE!</v>
      </c>
      <c r="L157" t="s">
        <v>200</v>
      </c>
      <c r="M157" s="4">
        <v>1</v>
      </c>
      <c r="N157" s="8"/>
    </row>
    <row r="158" spans="2:14" x14ac:dyDescent="0.25">
      <c r="B158" t="s">
        <v>8</v>
      </c>
      <c r="C158" t="s">
        <v>172</v>
      </c>
      <c r="D158" t="s">
        <v>213</v>
      </c>
      <c r="E158" t="s">
        <v>212</v>
      </c>
      <c r="F158" t="s">
        <v>157</v>
      </c>
      <c r="G158" s="2">
        <v>0.15</v>
      </c>
      <c r="H158" s="3" t="e">
        <f t="shared" si="32"/>
        <v>#VALUE!</v>
      </c>
      <c r="I158">
        <v>240</v>
      </c>
      <c r="J158" s="4" t="e">
        <f t="shared" si="33"/>
        <v>#VALUE!</v>
      </c>
      <c r="K158" s="1" t="e">
        <f t="shared" si="29"/>
        <v>#VALUE!</v>
      </c>
      <c r="L158" t="s">
        <v>81</v>
      </c>
      <c r="M158" s="4">
        <v>0</v>
      </c>
      <c r="N158" s="8"/>
    </row>
    <row r="159" spans="2:14" x14ac:dyDescent="0.25">
      <c r="B159" t="s">
        <v>8</v>
      </c>
      <c r="C159" t="s">
        <v>172</v>
      </c>
      <c r="D159" t="s">
        <v>222</v>
      </c>
      <c r="E159" t="s">
        <v>216</v>
      </c>
      <c r="F159">
        <v>13</v>
      </c>
      <c r="G159" s="2">
        <v>0.15</v>
      </c>
      <c r="H159" s="3">
        <f t="shared" ref="H159:H167" si="34">+F159+(F159*G159)</f>
        <v>14.95</v>
      </c>
      <c r="I159">
        <v>240</v>
      </c>
      <c r="J159" s="4">
        <f t="shared" ref="J159:J167" si="35">+H159/(3600/I159)</f>
        <v>0.99666666666666659</v>
      </c>
      <c r="K159" s="1">
        <f t="shared" si="29"/>
        <v>1</v>
      </c>
      <c r="L159" t="s">
        <v>177</v>
      </c>
      <c r="M159" s="4">
        <v>1</v>
      </c>
      <c r="N159" s="8"/>
    </row>
    <row r="160" spans="2:14" x14ac:dyDescent="0.25">
      <c r="B160" t="s">
        <v>8</v>
      </c>
      <c r="C160" t="s">
        <v>172</v>
      </c>
      <c r="D160" t="s">
        <v>222</v>
      </c>
      <c r="E160" t="s">
        <v>175</v>
      </c>
      <c r="F160">
        <v>13</v>
      </c>
      <c r="G160" s="2">
        <v>0.15</v>
      </c>
      <c r="H160" s="3">
        <f t="shared" si="34"/>
        <v>14.95</v>
      </c>
      <c r="I160">
        <v>240</v>
      </c>
      <c r="J160" s="4">
        <f t="shared" si="35"/>
        <v>0.99666666666666659</v>
      </c>
      <c r="K160" s="1">
        <f t="shared" si="29"/>
        <v>1</v>
      </c>
      <c r="L160" t="s">
        <v>175</v>
      </c>
      <c r="M160" s="4">
        <v>1</v>
      </c>
      <c r="N160" s="8"/>
    </row>
    <row r="161" spans="2:14" x14ac:dyDescent="0.25">
      <c r="B161" t="s">
        <v>8</v>
      </c>
      <c r="C161" t="s">
        <v>172</v>
      </c>
      <c r="D161" t="s">
        <v>222</v>
      </c>
      <c r="E161" t="s">
        <v>217</v>
      </c>
      <c r="F161" t="s">
        <v>157</v>
      </c>
      <c r="G161" s="2">
        <v>0.15</v>
      </c>
      <c r="H161" s="3" t="e">
        <f t="shared" si="34"/>
        <v>#VALUE!</v>
      </c>
      <c r="I161">
        <v>240</v>
      </c>
      <c r="J161" s="4" t="e">
        <f t="shared" si="35"/>
        <v>#VALUE!</v>
      </c>
      <c r="K161" s="1" t="e">
        <f t="shared" si="29"/>
        <v>#VALUE!</v>
      </c>
      <c r="L161" t="s">
        <v>217</v>
      </c>
      <c r="M161" s="4">
        <v>1</v>
      </c>
      <c r="N161" s="8"/>
    </row>
    <row r="162" spans="2:14" x14ac:dyDescent="0.25">
      <c r="B162" t="s">
        <v>8</v>
      </c>
      <c r="C162" t="s">
        <v>172</v>
      </c>
      <c r="D162" t="s">
        <v>222</v>
      </c>
      <c r="E162" t="s">
        <v>218</v>
      </c>
      <c r="F162">
        <v>30</v>
      </c>
      <c r="G162" s="2">
        <v>0.15</v>
      </c>
      <c r="H162" s="3">
        <f t="shared" si="34"/>
        <v>34.5</v>
      </c>
      <c r="I162">
        <v>240</v>
      </c>
      <c r="J162" s="4">
        <f t="shared" si="35"/>
        <v>2.2999999999999998</v>
      </c>
      <c r="K162" s="1">
        <f t="shared" si="29"/>
        <v>2</v>
      </c>
      <c r="L162" t="s">
        <v>81</v>
      </c>
      <c r="M162" s="4">
        <v>0</v>
      </c>
      <c r="N162" s="8"/>
    </row>
    <row r="163" spans="2:14" x14ac:dyDescent="0.25">
      <c r="B163" t="s">
        <v>8</v>
      </c>
      <c r="C163" t="s">
        <v>172</v>
      </c>
      <c r="D163" t="s">
        <v>222</v>
      </c>
      <c r="E163" t="s">
        <v>192</v>
      </c>
      <c r="F163" t="s">
        <v>157</v>
      </c>
      <c r="G163" s="2">
        <v>0.15</v>
      </c>
      <c r="H163" s="3" t="e">
        <f t="shared" si="34"/>
        <v>#VALUE!</v>
      </c>
      <c r="I163">
        <v>240</v>
      </c>
      <c r="J163" s="4" t="e">
        <f t="shared" si="35"/>
        <v>#VALUE!</v>
      </c>
      <c r="K163" s="1" t="e">
        <f t="shared" si="29"/>
        <v>#VALUE!</v>
      </c>
      <c r="L163" t="s">
        <v>183</v>
      </c>
      <c r="M163" s="4">
        <v>1</v>
      </c>
      <c r="N163" s="8"/>
    </row>
    <row r="164" spans="2:14" x14ac:dyDescent="0.25">
      <c r="B164" t="s">
        <v>8</v>
      </c>
      <c r="C164" t="s">
        <v>172</v>
      </c>
      <c r="D164" t="s">
        <v>222</v>
      </c>
      <c r="E164" t="s">
        <v>194</v>
      </c>
      <c r="F164" t="s">
        <v>157</v>
      </c>
      <c r="G164" s="2">
        <v>0.15</v>
      </c>
      <c r="H164" s="3" t="e">
        <f t="shared" si="34"/>
        <v>#VALUE!</v>
      </c>
      <c r="I164">
        <v>240</v>
      </c>
      <c r="J164" s="4" t="e">
        <f t="shared" si="35"/>
        <v>#VALUE!</v>
      </c>
      <c r="K164" s="1" t="e">
        <f t="shared" si="29"/>
        <v>#VALUE!</v>
      </c>
      <c r="L164" t="s">
        <v>81</v>
      </c>
      <c r="M164" s="4">
        <v>0</v>
      </c>
      <c r="N164" s="8"/>
    </row>
    <row r="165" spans="2:14" x14ac:dyDescent="0.25">
      <c r="B165" t="s">
        <v>8</v>
      </c>
      <c r="C165" t="s">
        <v>172</v>
      </c>
      <c r="D165" t="s">
        <v>222</v>
      </c>
      <c r="E165" t="s">
        <v>219</v>
      </c>
      <c r="F165" t="s">
        <v>157</v>
      </c>
      <c r="G165" s="2">
        <v>0.15</v>
      </c>
      <c r="H165" s="3" t="e">
        <f t="shared" si="34"/>
        <v>#VALUE!</v>
      </c>
      <c r="I165">
        <v>240</v>
      </c>
      <c r="J165" s="4" t="e">
        <f t="shared" si="35"/>
        <v>#VALUE!</v>
      </c>
      <c r="K165" s="1" t="e">
        <f t="shared" si="29"/>
        <v>#VALUE!</v>
      </c>
      <c r="L165" t="s">
        <v>200</v>
      </c>
      <c r="M165" s="4">
        <v>1</v>
      </c>
      <c r="N165" s="8"/>
    </row>
    <row r="166" spans="2:14" x14ac:dyDescent="0.25">
      <c r="B166" t="s">
        <v>8</v>
      </c>
      <c r="C166" t="s">
        <v>172</v>
      </c>
      <c r="D166" t="s">
        <v>222</v>
      </c>
      <c r="E166" t="s">
        <v>220</v>
      </c>
      <c r="F166" t="s">
        <v>157</v>
      </c>
      <c r="G166" s="2">
        <v>0.15</v>
      </c>
      <c r="H166" s="3" t="e">
        <f t="shared" si="34"/>
        <v>#VALUE!</v>
      </c>
      <c r="I166">
        <v>240</v>
      </c>
      <c r="J166" s="4" t="e">
        <f t="shared" si="35"/>
        <v>#VALUE!</v>
      </c>
      <c r="K166" s="1" t="e">
        <f t="shared" si="29"/>
        <v>#VALUE!</v>
      </c>
      <c r="L166" t="s">
        <v>201</v>
      </c>
      <c r="M166" s="4">
        <v>1</v>
      </c>
      <c r="N166" s="8"/>
    </row>
    <row r="167" spans="2:14" x14ac:dyDescent="0.25">
      <c r="B167" t="s">
        <v>8</v>
      </c>
      <c r="C167" t="s">
        <v>172</v>
      </c>
      <c r="D167" t="s">
        <v>222</v>
      </c>
      <c r="E167" t="s">
        <v>221</v>
      </c>
      <c r="F167" t="s">
        <v>157</v>
      </c>
      <c r="G167" s="2">
        <v>0.15</v>
      </c>
      <c r="H167" s="3" t="e">
        <f t="shared" si="34"/>
        <v>#VALUE!</v>
      </c>
      <c r="I167">
        <v>240</v>
      </c>
      <c r="J167" s="4" t="e">
        <f t="shared" si="35"/>
        <v>#VALUE!</v>
      </c>
      <c r="K167" s="1" t="e">
        <f t="shared" si="29"/>
        <v>#VALUE!</v>
      </c>
      <c r="L167" t="s">
        <v>223</v>
      </c>
      <c r="M167" s="4">
        <v>1</v>
      </c>
      <c r="N167" s="8"/>
    </row>
    <row r="168" spans="2:14" x14ac:dyDescent="0.25">
      <c r="B168" t="s">
        <v>242</v>
      </c>
      <c r="C168" t="s">
        <v>9</v>
      </c>
      <c r="D168" t="s">
        <v>9</v>
      </c>
      <c r="E168" t="s">
        <v>224</v>
      </c>
      <c r="F168" s="3">
        <v>31.103363636363639</v>
      </c>
      <c r="G168" s="2">
        <v>0.15</v>
      </c>
      <c r="H168" s="3">
        <f t="shared" ref="H168:H185" si="36">+F168+(F168*G168)</f>
        <v>35.768868181818185</v>
      </c>
      <c r="I168">
        <v>240</v>
      </c>
      <c r="J168" s="4">
        <f t="shared" ref="J168:J185" si="37">+H168/(3600/I168)</f>
        <v>2.3845912121212125</v>
      </c>
      <c r="K168" s="1">
        <f t="shared" si="29"/>
        <v>2</v>
      </c>
      <c r="L168" t="s">
        <v>15</v>
      </c>
      <c r="M168">
        <v>5</v>
      </c>
      <c r="N168" s="6"/>
    </row>
    <row r="169" spans="2:14" x14ac:dyDescent="0.25">
      <c r="B169" t="s">
        <v>242</v>
      </c>
      <c r="C169" t="s">
        <v>9</v>
      </c>
      <c r="D169" t="s">
        <v>9</v>
      </c>
      <c r="E169" t="s">
        <v>225</v>
      </c>
      <c r="F169" s="3">
        <v>17.21</v>
      </c>
      <c r="G169" s="2">
        <v>0.15</v>
      </c>
      <c r="H169" s="3">
        <f t="shared" si="36"/>
        <v>19.791499999999999</v>
      </c>
      <c r="I169">
        <v>240</v>
      </c>
      <c r="J169" s="4">
        <f t="shared" si="37"/>
        <v>1.3194333333333332</v>
      </c>
      <c r="K169" s="1">
        <f t="shared" si="29"/>
        <v>1</v>
      </c>
      <c r="L169" t="s">
        <v>15</v>
      </c>
      <c r="N169" s="6"/>
    </row>
    <row r="170" spans="2:14" x14ac:dyDescent="0.25">
      <c r="B170" t="s">
        <v>242</v>
      </c>
      <c r="C170" t="s">
        <v>9</v>
      </c>
      <c r="D170" t="s">
        <v>9</v>
      </c>
      <c r="E170" t="s">
        <v>226</v>
      </c>
      <c r="F170" s="3">
        <v>6.68</v>
      </c>
      <c r="G170" s="2">
        <v>0.15</v>
      </c>
      <c r="H170" s="3">
        <f t="shared" si="36"/>
        <v>7.6819999999999995</v>
      </c>
      <c r="I170">
        <v>240</v>
      </c>
      <c r="J170" s="4">
        <f t="shared" si="37"/>
        <v>0.51213333333333333</v>
      </c>
      <c r="K170" s="1">
        <f t="shared" si="29"/>
        <v>1</v>
      </c>
      <c r="L170" t="s">
        <v>243</v>
      </c>
      <c r="M170">
        <v>2</v>
      </c>
      <c r="N170" s="6"/>
    </row>
    <row r="171" spans="2:14" x14ac:dyDescent="0.25">
      <c r="B171" t="s">
        <v>242</v>
      </c>
      <c r="C171" t="s">
        <v>9</v>
      </c>
      <c r="D171" t="s">
        <v>9</v>
      </c>
      <c r="E171" t="s">
        <v>227</v>
      </c>
      <c r="F171" s="3">
        <v>4.55</v>
      </c>
      <c r="G171" s="2">
        <v>0.15</v>
      </c>
      <c r="H171" s="3">
        <f t="shared" si="36"/>
        <v>5.2324999999999999</v>
      </c>
      <c r="I171">
        <v>240</v>
      </c>
      <c r="J171" s="4">
        <f t="shared" si="37"/>
        <v>0.34883333333333333</v>
      </c>
      <c r="K171" s="1">
        <f t="shared" si="29"/>
        <v>1</v>
      </c>
      <c r="L171" t="s">
        <v>243</v>
      </c>
      <c r="N171" s="6"/>
    </row>
    <row r="172" spans="2:14" x14ac:dyDescent="0.25">
      <c r="B172" t="s">
        <v>242</v>
      </c>
      <c r="C172" t="s">
        <v>9</v>
      </c>
      <c r="D172" t="s">
        <v>9</v>
      </c>
      <c r="E172" t="s">
        <v>228</v>
      </c>
      <c r="F172" s="3">
        <v>4.2450000000000001</v>
      </c>
      <c r="G172" s="2">
        <v>0.15</v>
      </c>
      <c r="H172" s="3">
        <f t="shared" si="36"/>
        <v>4.8817500000000003</v>
      </c>
      <c r="I172">
        <v>240</v>
      </c>
      <c r="J172" s="4">
        <f t="shared" si="37"/>
        <v>0.32545000000000002</v>
      </c>
      <c r="K172" s="1">
        <f t="shared" si="29"/>
        <v>1</v>
      </c>
      <c r="L172" t="s">
        <v>243</v>
      </c>
      <c r="N172" s="6"/>
    </row>
    <row r="173" spans="2:14" x14ac:dyDescent="0.25">
      <c r="B173" t="s">
        <v>242</v>
      </c>
      <c r="C173" t="s">
        <v>9</v>
      </c>
      <c r="D173" t="s">
        <v>9</v>
      </c>
      <c r="E173" t="s">
        <v>229</v>
      </c>
      <c r="F173" s="3">
        <v>1.8162499999999999</v>
      </c>
      <c r="G173" s="2">
        <v>0.15</v>
      </c>
      <c r="H173" s="3">
        <f t="shared" si="36"/>
        <v>2.0886874999999998</v>
      </c>
      <c r="I173">
        <v>240</v>
      </c>
      <c r="J173" s="4">
        <f t="shared" si="37"/>
        <v>0.13924583333333332</v>
      </c>
      <c r="K173" s="1">
        <f t="shared" si="29"/>
        <v>1</v>
      </c>
      <c r="L173" t="s">
        <v>243</v>
      </c>
      <c r="N173" s="6"/>
    </row>
    <row r="174" spans="2:14" x14ac:dyDescent="0.25">
      <c r="B174" t="s">
        <v>242</v>
      </c>
      <c r="C174" t="s">
        <v>9</v>
      </c>
      <c r="D174" t="s">
        <v>9</v>
      </c>
      <c r="E174" t="s">
        <v>230</v>
      </c>
      <c r="F174" s="3">
        <v>1.1000000000000001</v>
      </c>
      <c r="G174" s="2">
        <v>0.15</v>
      </c>
      <c r="H174" s="3">
        <f t="shared" si="36"/>
        <v>1.2650000000000001</v>
      </c>
      <c r="I174">
        <v>240</v>
      </c>
      <c r="J174" s="4">
        <f t="shared" si="37"/>
        <v>8.4333333333333343E-2</v>
      </c>
      <c r="K174" s="1">
        <f t="shared" si="29"/>
        <v>1</v>
      </c>
      <c r="L174" t="s">
        <v>243</v>
      </c>
      <c r="N174" s="6"/>
    </row>
    <row r="175" spans="2:14" x14ac:dyDescent="0.25">
      <c r="B175" t="s">
        <v>242</v>
      </c>
      <c r="C175" t="s">
        <v>9</v>
      </c>
      <c r="D175" t="s">
        <v>9</v>
      </c>
      <c r="E175" t="s">
        <v>231</v>
      </c>
      <c r="F175" s="3">
        <v>3.05</v>
      </c>
      <c r="G175" s="2">
        <v>0.15</v>
      </c>
      <c r="H175" s="3">
        <f t="shared" si="36"/>
        <v>3.5074999999999998</v>
      </c>
      <c r="I175">
        <v>240</v>
      </c>
      <c r="J175" s="4">
        <f t="shared" si="37"/>
        <v>0.23383333333333331</v>
      </c>
      <c r="K175" s="1">
        <f t="shared" si="29"/>
        <v>1</v>
      </c>
      <c r="L175" t="s">
        <v>243</v>
      </c>
      <c r="N175" s="6"/>
    </row>
    <row r="176" spans="2:14" x14ac:dyDescent="0.25">
      <c r="B176" t="s">
        <v>242</v>
      </c>
      <c r="C176" t="s">
        <v>9</v>
      </c>
      <c r="D176" t="s">
        <v>9</v>
      </c>
      <c r="E176" t="s">
        <v>232</v>
      </c>
      <c r="F176" s="3">
        <v>2.2799999999999998</v>
      </c>
      <c r="G176" s="2">
        <v>0.15</v>
      </c>
      <c r="H176" s="3">
        <f t="shared" si="36"/>
        <v>2.6219999999999999</v>
      </c>
      <c r="I176">
        <v>240</v>
      </c>
      <c r="J176" s="4">
        <f t="shared" si="37"/>
        <v>0.17479999999999998</v>
      </c>
      <c r="K176" s="1">
        <f t="shared" si="29"/>
        <v>1</v>
      </c>
      <c r="L176" t="s">
        <v>243</v>
      </c>
      <c r="N176" s="6"/>
    </row>
    <row r="177" spans="2:14" x14ac:dyDescent="0.25">
      <c r="B177" t="s">
        <v>242</v>
      </c>
      <c r="C177" t="s">
        <v>9</v>
      </c>
      <c r="D177" t="s">
        <v>9</v>
      </c>
      <c r="E177" t="s">
        <v>233</v>
      </c>
      <c r="F177" s="3">
        <v>3.51</v>
      </c>
      <c r="G177" s="2">
        <v>0.15</v>
      </c>
      <c r="H177" s="3">
        <f t="shared" si="36"/>
        <v>4.0365000000000002</v>
      </c>
      <c r="I177">
        <v>240</v>
      </c>
      <c r="J177" s="4">
        <f t="shared" si="37"/>
        <v>0.26910000000000001</v>
      </c>
      <c r="K177" s="1">
        <f t="shared" si="29"/>
        <v>1</v>
      </c>
      <c r="L177" t="s">
        <v>243</v>
      </c>
      <c r="N177" s="6"/>
    </row>
    <row r="178" spans="2:14" x14ac:dyDescent="0.25">
      <c r="B178" t="s">
        <v>242</v>
      </c>
      <c r="C178" t="s">
        <v>9</v>
      </c>
      <c r="D178" t="s">
        <v>9</v>
      </c>
      <c r="E178" t="s">
        <v>234</v>
      </c>
      <c r="F178" s="3">
        <v>3.3</v>
      </c>
      <c r="G178" s="2">
        <v>0.15</v>
      </c>
      <c r="H178" s="3">
        <f t="shared" si="36"/>
        <v>3.7949999999999999</v>
      </c>
      <c r="I178">
        <v>240</v>
      </c>
      <c r="J178" s="4">
        <f t="shared" si="37"/>
        <v>0.253</v>
      </c>
      <c r="K178" s="1">
        <f t="shared" si="29"/>
        <v>1</v>
      </c>
      <c r="L178" t="s">
        <v>17</v>
      </c>
      <c r="M178">
        <v>3</v>
      </c>
      <c r="N178" s="6"/>
    </row>
    <row r="179" spans="2:14" x14ac:dyDescent="0.25">
      <c r="B179" t="s">
        <v>242</v>
      </c>
      <c r="C179" t="s">
        <v>9</v>
      </c>
      <c r="D179" t="s">
        <v>9</v>
      </c>
      <c r="E179" t="s">
        <v>235</v>
      </c>
      <c r="F179" s="3">
        <v>3.1</v>
      </c>
      <c r="G179" s="2">
        <v>0.15</v>
      </c>
      <c r="H179" s="3">
        <f t="shared" si="36"/>
        <v>3.5649999999999999</v>
      </c>
      <c r="I179">
        <v>240</v>
      </c>
      <c r="J179" s="4">
        <f t="shared" si="37"/>
        <v>0.23766666666666666</v>
      </c>
      <c r="K179" s="1">
        <f t="shared" si="29"/>
        <v>1</v>
      </c>
      <c r="L179" t="s">
        <v>17</v>
      </c>
      <c r="N179" s="6"/>
    </row>
    <row r="180" spans="2:14" x14ac:dyDescent="0.25">
      <c r="B180" t="s">
        <v>242</v>
      </c>
      <c r="C180" t="s">
        <v>9</v>
      </c>
      <c r="D180" t="s">
        <v>9</v>
      </c>
      <c r="E180" t="s">
        <v>236</v>
      </c>
      <c r="F180" s="3">
        <v>4</v>
      </c>
      <c r="G180" s="2">
        <v>0.15</v>
      </c>
      <c r="H180" s="3">
        <f t="shared" si="36"/>
        <v>4.5999999999999996</v>
      </c>
      <c r="I180">
        <v>240</v>
      </c>
      <c r="J180" s="4">
        <f t="shared" si="37"/>
        <v>0.30666666666666664</v>
      </c>
      <c r="K180" s="1">
        <f t="shared" si="29"/>
        <v>1</v>
      </c>
      <c r="L180" t="s">
        <v>17</v>
      </c>
      <c r="N180" s="6"/>
    </row>
    <row r="181" spans="2:14" x14ac:dyDescent="0.25">
      <c r="B181" t="s">
        <v>242</v>
      </c>
      <c r="C181" t="s">
        <v>9</v>
      </c>
      <c r="D181" t="s">
        <v>9</v>
      </c>
      <c r="E181" t="s">
        <v>237</v>
      </c>
      <c r="F181" s="3">
        <v>4.0999999999999996</v>
      </c>
      <c r="G181" s="2">
        <v>0.15</v>
      </c>
      <c r="H181" s="3">
        <f t="shared" si="36"/>
        <v>4.7149999999999999</v>
      </c>
      <c r="I181">
        <v>240</v>
      </c>
      <c r="J181" s="4">
        <f t="shared" si="37"/>
        <v>0.3143333333333333</v>
      </c>
      <c r="K181" s="1">
        <f t="shared" si="29"/>
        <v>1</v>
      </c>
      <c r="L181" t="s">
        <v>17</v>
      </c>
      <c r="N181" s="6"/>
    </row>
    <row r="182" spans="2:14" x14ac:dyDescent="0.25">
      <c r="B182" t="s">
        <v>242</v>
      </c>
      <c r="C182" t="s">
        <v>9</v>
      </c>
      <c r="D182" t="s">
        <v>9</v>
      </c>
      <c r="E182" t="s">
        <v>238</v>
      </c>
      <c r="F182" s="3">
        <v>4.0999999999999996</v>
      </c>
      <c r="G182" s="2">
        <v>0.15</v>
      </c>
      <c r="H182" s="3">
        <f t="shared" si="36"/>
        <v>4.7149999999999999</v>
      </c>
      <c r="I182">
        <v>240</v>
      </c>
      <c r="J182" s="4">
        <f t="shared" si="37"/>
        <v>0.3143333333333333</v>
      </c>
      <c r="K182" s="1">
        <f t="shared" si="29"/>
        <v>1</v>
      </c>
      <c r="L182" t="s">
        <v>17</v>
      </c>
      <c r="N182" s="6"/>
    </row>
    <row r="183" spans="2:14" x14ac:dyDescent="0.25">
      <c r="B183" t="s">
        <v>242</v>
      </c>
      <c r="C183" t="s">
        <v>9</v>
      </c>
      <c r="D183" t="s">
        <v>9</v>
      </c>
      <c r="E183" t="s">
        <v>239</v>
      </c>
      <c r="F183" s="3">
        <v>3</v>
      </c>
      <c r="G183" s="2">
        <v>0.15</v>
      </c>
      <c r="H183" s="3">
        <f t="shared" si="36"/>
        <v>3.45</v>
      </c>
      <c r="I183">
        <v>240</v>
      </c>
      <c r="J183" s="4">
        <f t="shared" si="37"/>
        <v>0.23</v>
      </c>
      <c r="K183" s="1">
        <f t="shared" si="29"/>
        <v>1</v>
      </c>
      <c r="L183" t="s">
        <v>17</v>
      </c>
      <c r="N183" s="6"/>
    </row>
    <row r="184" spans="2:14" x14ac:dyDescent="0.25">
      <c r="B184" t="s">
        <v>242</v>
      </c>
      <c r="C184" t="s">
        <v>9</v>
      </c>
      <c r="D184" t="s">
        <v>9</v>
      </c>
      <c r="E184" t="s">
        <v>240</v>
      </c>
      <c r="F184" s="3">
        <v>3</v>
      </c>
      <c r="G184" s="2">
        <v>0.15</v>
      </c>
      <c r="H184" s="3">
        <f t="shared" si="36"/>
        <v>3.45</v>
      </c>
      <c r="I184">
        <v>240</v>
      </c>
      <c r="J184" s="4">
        <f t="shared" si="37"/>
        <v>0.23</v>
      </c>
      <c r="K184" s="1">
        <f t="shared" si="29"/>
        <v>1</v>
      </c>
      <c r="L184" t="s">
        <v>17</v>
      </c>
      <c r="N184" s="6"/>
    </row>
    <row r="185" spans="2:14" x14ac:dyDescent="0.25">
      <c r="B185" t="s">
        <v>242</v>
      </c>
      <c r="C185" t="s">
        <v>9</v>
      </c>
      <c r="D185" t="s">
        <v>9</v>
      </c>
      <c r="E185" t="s">
        <v>241</v>
      </c>
      <c r="F185" s="3">
        <v>3</v>
      </c>
      <c r="G185" s="2">
        <v>0.15</v>
      </c>
      <c r="H185" s="3">
        <f t="shared" si="36"/>
        <v>3.45</v>
      </c>
      <c r="I185">
        <v>240</v>
      </c>
      <c r="J185" s="4">
        <f t="shared" si="37"/>
        <v>0.23</v>
      </c>
      <c r="K185" s="1">
        <f t="shared" si="29"/>
        <v>1</v>
      </c>
      <c r="L185" t="s">
        <v>17</v>
      </c>
      <c r="N185" s="6"/>
    </row>
    <row r="186" spans="2:14" x14ac:dyDescent="0.25">
      <c r="B186" t="s">
        <v>242</v>
      </c>
      <c r="C186" t="s">
        <v>9</v>
      </c>
      <c r="D186" t="s">
        <v>119</v>
      </c>
      <c r="E186" t="s">
        <v>244</v>
      </c>
      <c r="F186" s="3">
        <v>9</v>
      </c>
      <c r="G186" s="2">
        <v>0.15</v>
      </c>
      <c r="H186" s="3">
        <f t="shared" ref="H186:H195" si="38">+F186+(F186*G186)</f>
        <v>10.35</v>
      </c>
      <c r="I186">
        <v>240</v>
      </c>
      <c r="J186" s="4">
        <f t="shared" ref="J186:J195" si="39">+H186/(3600/I186)</f>
        <v>0.69</v>
      </c>
      <c r="K186" s="1">
        <f t="shared" si="29"/>
        <v>1</v>
      </c>
      <c r="L186" t="s">
        <v>50</v>
      </c>
      <c r="M186">
        <v>3</v>
      </c>
      <c r="N186" s="6"/>
    </row>
    <row r="187" spans="2:14" x14ac:dyDescent="0.25">
      <c r="B187" t="s">
        <v>242</v>
      </c>
      <c r="C187" t="s">
        <v>9</v>
      </c>
      <c r="D187" t="s">
        <v>119</v>
      </c>
      <c r="E187" t="s">
        <v>245</v>
      </c>
      <c r="F187" s="3">
        <v>12.4</v>
      </c>
      <c r="G187" s="2">
        <v>0.15</v>
      </c>
      <c r="H187" s="3">
        <f t="shared" si="38"/>
        <v>14.26</v>
      </c>
      <c r="I187">
        <v>240</v>
      </c>
      <c r="J187" s="4">
        <f t="shared" si="39"/>
        <v>0.95066666666666666</v>
      </c>
      <c r="K187" s="1">
        <f t="shared" ref="K187:K250" si="40">IF(SUM(J187:J187)=0,"NA",IF(SUM(J187:J187)&lt;1,1,IF(MOD(SUM(J187:J187),1)&gt;=0.5,ROUNDUP(SUM(J187:J187),0),ROUNDDOWN(SUM(J187:J187),0))))</f>
        <v>1</v>
      </c>
      <c r="N187" s="6"/>
    </row>
    <row r="188" spans="2:14" x14ac:dyDescent="0.25">
      <c r="B188" t="s">
        <v>242</v>
      </c>
      <c r="C188" t="s">
        <v>9</v>
      </c>
      <c r="D188" t="s">
        <v>119</v>
      </c>
      <c r="E188" t="s">
        <v>246</v>
      </c>
      <c r="F188" s="3">
        <v>13</v>
      </c>
      <c r="G188" s="2">
        <v>0.15</v>
      </c>
      <c r="H188" s="3">
        <f t="shared" si="38"/>
        <v>14.95</v>
      </c>
      <c r="I188">
        <v>240</v>
      </c>
      <c r="J188" s="4">
        <f t="shared" si="39"/>
        <v>0.99666666666666659</v>
      </c>
      <c r="K188" s="1">
        <f t="shared" si="40"/>
        <v>1</v>
      </c>
      <c r="N188" s="6"/>
    </row>
    <row r="189" spans="2:14" x14ac:dyDescent="0.25">
      <c r="B189" t="s">
        <v>242</v>
      </c>
      <c r="C189" t="s">
        <v>9</v>
      </c>
      <c r="D189" t="s">
        <v>119</v>
      </c>
      <c r="E189" t="s">
        <v>247</v>
      </c>
      <c r="F189" s="3">
        <v>8</v>
      </c>
      <c r="G189" s="2">
        <v>0.15</v>
      </c>
      <c r="H189" s="3">
        <f t="shared" si="38"/>
        <v>9.1999999999999993</v>
      </c>
      <c r="I189">
        <v>240</v>
      </c>
      <c r="J189" s="4">
        <f t="shared" si="39"/>
        <v>0.61333333333333329</v>
      </c>
      <c r="K189" s="1">
        <f t="shared" si="40"/>
        <v>1</v>
      </c>
      <c r="N189" s="6"/>
    </row>
    <row r="190" spans="2:14" x14ac:dyDescent="0.25">
      <c r="B190" t="s">
        <v>242</v>
      </c>
      <c r="C190" t="s">
        <v>9</v>
      </c>
      <c r="D190" t="s">
        <v>119</v>
      </c>
      <c r="E190" t="s">
        <v>248</v>
      </c>
      <c r="F190" s="3">
        <v>10</v>
      </c>
      <c r="G190" s="2">
        <v>0.15</v>
      </c>
      <c r="H190" s="3">
        <f t="shared" si="38"/>
        <v>11.5</v>
      </c>
      <c r="I190">
        <v>240</v>
      </c>
      <c r="J190" s="4">
        <f t="shared" si="39"/>
        <v>0.76666666666666672</v>
      </c>
      <c r="K190" s="1">
        <f t="shared" si="40"/>
        <v>1</v>
      </c>
      <c r="L190" t="s">
        <v>253</v>
      </c>
      <c r="M190">
        <v>1</v>
      </c>
      <c r="N190" s="6"/>
    </row>
    <row r="191" spans="2:14" x14ac:dyDescent="0.25">
      <c r="B191" t="s">
        <v>242</v>
      </c>
      <c r="C191" t="s">
        <v>9</v>
      </c>
      <c r="D191" t="s">
        <v>119</v>
      </c>
      <c r="E191" t="s">
        <v>249</v>
      </c>
      <c r="F191" s="3">
        <v>10.5</v>
      </c>
      <c r="G191" s="2">
        <v>0.15</v>
      </c>
      <c r="H191" s="3">
        <f t="shared" si="38"/>
        <v>12.074999999999999</v>
      </c>
      <c r="I191">
        <v>240</v>
      </c>
      <c r="J191" s="4">
        <f t="shared" si="39"/>
        <v>0.80499999999999994</v>
      </c>
      <c r="K191" s="1">
        <f t="shared" si="40"/>
        <v>1</v>
      </c>
      <c r="L191" t="s">
        <v>19</v>
      </c>
      <c r="M191">
        <v>1</v>
      </c>
      <c r="N191" s="6"/>
    </row>
    <row r="192" spans="2:14" x14ac:dyDescent="0.25">
      <c r="B192" t="s">
        <v>242</v>
      </c>
      <c r="C192" t="s">
        <v>9</v>
      </c>
      <c r="D192" t="s">
        <v>119</v>
      </c>
      <c r="E192" t="s">
        <v>250</v>
      </c>
      <c r="F192" s="3">
        <v>6</v>
      </c>
      <c r="G192" s="2">
        <v>0.15</v>
      </c>
      <c r="H192" s="3">
        <f t="shared" si="38"/>
        <v>6.9</v>
      </c>
      <c r="I192">
        <v>240</v>
      </c>
      <c r="J192" s="4">
        <f t="shared" si="39"/>
        <v>0.46</v>
      </c>
      <c r="K192" s="1">
        <f t="shared" si="40"/>
        <v>1</v>
      </c>
      <c r="L192" t="s">
        <v>254</v>
      </c>
      <c r="M192">
        <v>2</v>
      </c>
      <c r="N192" s="6"/>
    </row>
    <row r="193" spans="2:14" x14ac:dyDescent="0.25">
      <c r="B193" t="s">
        <v>242</v>
      </c>
      <c r="C193" t="s">
        <v>9</v>
      </c>
      <c r="D193" t="s">
        <v>119</v>
      </c>
      <c r="E193" t="s">
        <v>251</v>
      </c>
      <c r="F193" s="3">
        <v>10.5</v>
      </c>
      <c r="G193" s="2">
        <v>0.15</v>
      </c>
      <c r="H193" s="3">
        <f t="shared" si="38"/>
        <v>12.074999999999999</v>
      </c>
      <c r="I193">
        <v>240</v>
      </c>
      <c r="J193" s="4">
        <f t="shared" si="39"/>
        <v>0.80499999999999994</v>
      </c>
      <c r="K193" s="1">
        <f t="shared" si="40"/>
        <v>1</v>
      </c>
      <c r="N193" s="6"/>
    </row>
    <row r="194" spans="2:14" x14ac:dyDescent="0.25">
      <c r="B194" t="s">
        <v>242</v>
      </c>
      <c r="C194" t="s">
        <v>9</v>
      </c>
      <c r="D194" t="s">
        <v>119</v>
      </c>
      <c r="E194" t="s">
        <v>252</v>
      </c>
      <c r="F194" s="3">
        <v>8.5</v>
      </c>
      <c r="G194" s="2">
        <v>0.15</v>
      </c>
      <c r="H194" s="3">
        <f t="shared" si="38"/>
        <v>9.7750000000000004</v>
      </c>
      <c r="I194">
        <v>240</v>
      </c>
      <c r="J194" s="4">
        <f t="shared" si="39"/>
        <v>0.65166666666666673</v>
      </c>
      <c r="K194" s="1">
        <f t="shared" si="40"/>
        <v>1</v>
      </c>
      <c r="N194" s="6"/>
    </row>
    <row r="195" spans="2:14" x14ac:dyDescent="0.25">
      <c r="B195" t="s">
        <v>242</v>
      </c>
      <c r="C195" t="s">
        <v>9</v>
      </c>
      <c r="D195" t="s">
        <v>119</v>
      </c>
      <c r="E195" t="s">
        <v>47</v>
      </c>
      <c r="F195" s="3">
        <v>21.5</v>
      </c>
      <c r="G195" s="2">
        <v>0.15</v>
      </c>
      <c r="H195" s="3">
        <f t="shared" si="38"/>
        <v>24.725000000000001</v>
      </c>
      <c r="I195">
        <v>240</v>
      </c>
      <c r="J195" s="4">
        <f t="shared" si="39"/>
        <v>1.6483333333333334</v>
      </c>
      <c r="K195" s="1">
        <f t="shared" si="40"/>
        <v>2</v>
      </c>
      <c r="L195" t="s">
        <v>51</v>
      </c>
      <c r="M195">
        <v>2</v>
      </c>
      <c r="N195" s="6"/>
    </row>
    <row r="196" spans="2:14" x14ac:dyDescent="0.25">
      <c r="B196" t="s">
        <v>242</v>
      </c>
      <c r="C196" t="s">
        <v>9</v>
      </c>
      <c r="D196" t="s">
        <v>255</v>
      </c>
      <c r="E196" t="s">
        <v>256</v>
      </c>
      <c r="F196" s="3">
        <v>33</v>
      </c>
      <c r="G196" s="2">
        <v>0.15</v>
      </c>
      <c r="H196" s="3">
        <f t="shared" ref="H196:H200" si="41">+F196+(F196*G196)</f>
        <v>37.950000000000003</v>
      </c>
      <c r="I196">
        <v>240</v>
      </c>
      <c r="J196" s="4">
        <f t="shared" ref="J196:J200" si="42">+H196/(3600/I196)</f>
        <v>2.5300000000000002</v>
      </c>
      <c r="K196" s="1">
        <f t="shared" si="40"/>
        <v>3</v>
      </c>
      <c r="L196" t="s">
        <v>81</v>
      </c>
      <c r="M196" s="3">
        <f>+K196</f>
        <v>3</v>
      </c>
      <c r="N196" s="11"/>
    </row>
    <row r="197" spans="2:14" x14ac:dyDescent="0.25">
      <c r="B197" t="s">
        <v>242</v>
      </c>
      <c r="C197" t="s">
        <v>9</v>
      </c>
      <c r="D197" t="s">
        <v>255</v>
      </c>
      <c r="E197" t="s">
        <v>257</v>
      </c>
      <c r="F197" s="3">
        <v>30</v>
      </c>
      <c r="G197" s="2">
        <v>0.15</v>
      </c>
      <c r="H197" s="3">
        <f t="shared" si="41"/>
        <v>34.5</v>
      </c>
      <c r="I197">
        <v>240</v>
      </c>
      <c r="J197" s="4">
        <f t="shared" si="42"/>
        <v>2.2999999999999998</v>
      </c>
      <c r="K197" s="1">
        <f t="shared" si="40"/>
        <v>2</v>
      </c>
      <c r="L197" t="s">
        <v>81</v>
      </c>
      <c r="M197" s="3">
        <f t="shared" ref="M197:M206" si="43">+K197</f>
        <v>2</v>
      </c>
      <c r="N197" s="11"/>
    </row>
    <row r="198" spans="2:14" x14ac:dyDescent="0.25">
      <c r="B198" t="s">
        <v>242</v>
      </c>
      <c r="C198" t="s">
        <v>9</v>
      </c>
      <c r="D198" t="s">
        <v>255</v>
      </c>
      <c r="E198" t="s">
        <v>258</v>
      </c>
      <c r="F198" s="3">
        <v>42</v>
      </c>
      <c r="G198" s="2">
        <v>0.15</v>
      </c>
      <c r="H198" s="3">
        <f t="shared" si="41"/>
        <v>48.3</v>
      </c>
      <c r="I198">
        <v>240</v>
      </c>
      <c r="J198" s="4">
        <f t="shared" si="42"/>
        <v>3.2199999999999998</v>
      </c>
      <c r="K198" s="1">
        <f t="shared" si="40"/>
        <v>3</v>
      </c>
      <c r="L198" t="s">
        <v>81</v>
      </c>
      <c r="M198" s="3">
        <f t="shared" si="43"/>
        <v>3</v>
      </c>
      <c r="N198" s="11"/>
    </row>
    <row r="199" spans="2:14" x14ac:dyDescent="0.25">
      <c r="B199" t="s">
        <v>242</v>
      </c>
      <c r="C199" t="s">
        <v>9</v>
      </c>
      <c r="D199" t="s">
        <v>255</v>
      </c>
      <c r="E199" t="s">
        <v>259</v>
      </c>
      <c r="F199" s="3">
        <v>36</v>
      </c>
      <c r="G199" s="2">
        <v>0.15</v>
      </c>
      <c r="H199" s="3">
        <f t="shared" si="41"/>
        <v>41.4</v>
      </c>
      <c r="I199">
        <v>240</v>
      </c>
      <c r="J199" s="4">
        <f t="shared" si="42"/>
        <v>2.76</v>
      </c>
      <c r="K199" s="1">
        <f t="shared" si="40"/>
        <v>3</v>
      </c>
      <c r="L199" t="s">
        <v>81</v>
      </c>
      <c r="M199" s="3">
        <f t="shared" si="43"/>
        <v>3</v>
      </c>
      <c r="N199" s="11"/>
    </row>
    <row r="200" spans="2:14" x14ac:dyDescent="0.25">
      <c r="B200" t="s">
        <v>242</v>
      </c>
      <c r="C200" t="s">
        <v>9</v>
      </c>
      <c r="D200" t="s">
        <v>255</v>
      </c>
      <c r="E200" t="s">
        <v>260</v>
      </c>
      <c r="F200" s="3">
        <v>56</v>
      </c>
      <c r="G200" s="2">
        <v>0.15</v>
      </c>
      <c r="H200" s="3">
        <f t="shared" si="41"/>
        <v>64.400000000000006</v>
      </c>
      <c r="I200">
        <v>240</v>
      </c>
      <c r="J200" s="4">
        <f t="shared" si="42"/>
        <v>4.2933333333333339</v>
      </c>
      <c r="K200" s="1">
        <f t="shared" si="40"/>
        <v>4</v>
      </c>
      <c r="L200" t="s">
        <v>261</v>
      </c>
      <c r="M200" s="3">
        <f t="shared" si="43"/>
        <v>4</v>
      </c>
      <c r="N200" s="11"/>
    </row>
    <row r="201" spans="2:14" x14ac:dyDescent="0.25">
      <c r="B201" t="s">
        <v>242</v>
      </c>
      <c r="C201" t="s">
        <v>55</v>
      </c>
      <c r="D201" t="s">
        <v>262</v>
      </c>
      <c r="E201" t="s">
        <v>263</v>
      </c>
      <c r="F201" s="3">
        <v>33</v>
      </c>
      <c r="G201" s="2">
        <v>0.15</v>
      </c>
      <c r="H201" s="3">
        <f t="shared" ref="H201:H206" si="44">+F201+(F201*G201)</f>
        <v>37.950000000000003</v>
      </c>
      <c r="I201">
        <v>240</v>
      </c>
      <c r="J201" s="4">
        <f t="shared" ref="J201:J206" si="45">+H201/(3600/I201)</f>
        <v>2.5300000000000002</v>
      </c>
      <c r="K201" s="1">
        <f t="shared" si="40"/>
        <v>3</v>
      </c>
      <c r="L201" t="s">
        <v>81</v>
      </c>
      <c r="M201" s="3">
        <f t="shared" si="43"/>
        <v>3</v>
      </c>
      <c r="N201" s="11"/>
    </row>
    <row r="202" spans="2:14" x14ac:dyDescent="0.25">
      <c r="B202" t="s">
        <v>242</v>
      </c>
      <c r="C202" t="s">
        <v>55</v>
      </c>
      <c r="D202" t="s">
        <v>262</v>
      </c>
      <c r="E202" t="s">
        <v>264</v>
      </c>
      <c r="F202" s="3">
        <v>23</v>
      </c>
      <c r="G202" s="2">
        <v>0.15</v>
      </c>
      <c r="H202" s="3">
        <f t="shared" si="44"/>
        <v>26.45</v>
      </c>
      <c r="I202">
        <v>240</v>
      </c>
      <c r="J202" s="4">
        <f t="shared" si="45"/>
        <v>1.7633333333333332</v>
      </c>
      <c r="K202" s="1">
        <f t="shared" si="40"/>
        <v>2</v>
      </c>
      <c r="L202" t="s">
        <v>81</v>
      </c>
      <c r="M202" s="3">
        <f t="shared" si="43"/>
        <v>2</v>
      </c>
      <c r="N202" s="11"/>
    </row>
    <row r="203" spans="2:14" x14ac:dyDescent="0.25">
      <c r="B203" t="s">
        <v>242</v>
      </c>
      <c r="C203" t="s">
        <v>55</v>
      </c>
      <c r="D203" t="s">
        <v>262</v>
      </c>
      <c r="E203" t="s">
        <v>265</v>
      </c>
      <c r="F203" s="3">
        <v>19.7</v>
      </c>
      <c r="G203" s="2">
        <v>0.15</v>
      </c>
      <c r="H203" s="3">
        <f t="shared" si="44"/>
        <v>22.654999999999998</v>
      </c>
      <c r="I203">
        <v>240</v>
      </c>
      <c r="J203" s="4">
        <f t="shared" si="45"/>
        <v>1.5103333333333331</v>
      </c>
      <c r="K203" s="1">
        <f t="shared" si="40"/>
        <v>2</v>
      </c>
      <c r="L203" t="s">
        <v>81</v>
      </c>
      <c r="M203" s="3">
        <f t="shared" si="43"/>
        <v>2</v>
      </c>
      <c r="N203" s="11"/>
    </row>
    <row r="204" spans="2:14" x14ac:dyDescent="0.25">
      <c r="B204" t="s">
        <v>242</v>
      </c>
      <c r="C204" t="s">
        <v>55</v>
      </c>
      <c r="D204" t="s">
        <v>262</v>
      </c>
      <c r="E204" t="s">
        <v>266</v>
      </c>
      <c r="F204" s="3">
        <v>41</v>
      </c>
      <c r="G204" s="2">
        <v>0.15</v>
      </c>
      <c r="H204" s="3">
        <f t="shared" si="44"/>
        <v>47.15</v>
      </c>
      <c r="I204">
        <v>240</v>
      </c>
      <c r="J204" s="4">
        <f t="shared" si="45"/>
        <v>3.1433333333333331</v>
      </c>
      <c r="K204" s="1">
        <f t="shared" si="40"/>
        <v>3</v>
      </c>
      <c r="L204" t="s">
        <v>81</v>
      </c>
      <c r="M204" s="3">
        <f t="shared" si="43"/>
        <v>3</v>
      </c>
      <c r="N204" s="11"/>
    </row>
    <row r="205" spans="2:14" x14ac:dyDescent="0.25">
      <c r="B205" t="s">
        <v>242</v>
      </c>
      <c r="C205" t="s">
        <v>55</v>
      </c>
      <c r="D205" t="s">
        <v>262</v>
      </c>
      <c r="E205" t="s">
        <v>267</v>
      </c>
      <c r="F205" s="3">
        <v>33</v>
      </c>
      <c r="G205" s="2">
        <v>0.15</v>
      </c>
      <c r="H205" s="3">
        <f t="shared" si="44"/>
        <v>37.950000000000003</v>
      </c>
      <c r="I205">
        <v>240</v>
      </c>
      <c r="J205" s="4">
        <f t="shared" si="45"/>
        <v>2.5300000000000002</v>
      </c>
      <c r="K205" s="1">
        <f t="shared" si="40"/>
        <v>3</v>
      </c>
      <c r="L205" t="s">
        <v>81</v>
      </c>
      <c r="M205" s="3">
        <f t="shared" si="43"/>
        <v>3</v>
      </c>
      <c r="N205" s="11"/>
    </row>
    <row r="206" spans="2:14" x14ac:dyDescent="0.25">
      <c r="B206" t="s">
        <v>242</v>
      </c>
      <c r="C206" t="s">
        <v>55</v>
      </c>
      <c r="D206" t="s">
        <v>262</v>
      </c>
      <c r="E206" t="s">
        <v>268</v>
      </c>
      <c r="F206" s="3">
        <v>48</v>
      </c>
      <c r="G206" s="2">
        <v>0.15</v>
      </c>
      <c r="H206" s="3">
        <f t="shared" si="44"/>
        <v>55.2</v>
      </c>
      <c r="I206">
        <v>240</v>
      </c>
      <c r="J206" s="4">
        <f t="shared" si="45"/>
        <v>3.68</v>
      </c>
      <c r="K206" s="1">
        <f t="shared" si="40"/>
        <v>4</v>
      </c>
      <c r="L206" t="s">
        <v>269</v>
      </c>
      <c r="M206" s="3">
        <f t="shared" si="43"/>
        <v>4</v>
      </c>
      <c r="N206" s="11"/>
    </row>
    <row r="207" spans="2:14" x14ac:dyDescent="0.25">
      <c r="B207" t="s">
        <v>242</v>
      </c>
      <c r="C207" t="s">
        <v>55</v>
      </c>
      <c r="D207" t="s">
        <v>124</v>
      </c>
      <c r="E207" t="s">
        <v>270</v>
      </c>
      <c r="F207" s="3">
        <v>12</v>
      </c>
      <c r="G207" s="2">
        <v>0.15</v>
      </c>
      <c r="H207" s="3">
        <f t="shared" ref="H207:H217" si="46">+F207+(F207*G207)</f>
        <v>13.8</v>
      </c>
      <c r="I207">
        <v>240</v>
      </c>
      <c r="J207" s="4">
        <f t="shared" ref="J207:J217" si="47">+H207/(3600/I207)</f>
        <v>0.92</v>
      </c>
      <c r="K207" s="1">
        <f t="shared" si="40"/>
        <v>1</v>
      </c>
      <c r="L207" t="s">
        <v>81</v>
      </c>
      <c r="M207" s="3">
        <f>+K207</f>
        <v>1</v>
      </c>
      <c r="N207" s="11"/>
    </row>
    <row r="208" spans="2:14" x14ac:dyDescent="0.25">
      <c r="B208" t="s">
        <v>242</v>
      </c>
      <c r="C208" t="s">
        <v>55</v>
      </c>
      <c r="D208" t="s">
        <v>124</v>
      </c>
      <c r="E208" t="s">
        <v>271</v>
      </c>
      <c r="F208" s="3">
        <v>8</v>
      </c>
      <c r="G208" s="2">
        <v>0.15</v>
      </c>
      <c r="H208" s="3">
        <f t="shared" si="46"/>
        <v>9.1999999999999993</v>
      </c>
      <c r="I208">
        <v>240</v>
      </c>
      <c r="J208" s="4">
        <f t="shared" si="47"/>
        <v>0.61333333333333329</v>
      </c>
      <c r="K208" s="1">
        <f t="shared" si="40"/>
        <v>1</v>
      </c>
      <c r="L208" t="s">
        <v>281</v>
      </c>
      <c r="M208" s="3">
        <f t="shared" ref="M208:M240" si="48">+K208</f>
        <v>1</v>
      </c>
      <c r="N208" s="11"/>
    </row>
    <row r="209" spans="2:14" x14ac:dyDescent="0.25">
      <c r="B209" t="s">
        <v>242</v>
      </c>
      <c r="C209" t="s">
        <v>55</v>
      </c>
      <c r="D209" t="s">
        <v>124</v>
      </c>
      <c r="E209" t="s">
        <v>272</v>
      </c>
      <c r="F209" s="3">
        <v>56</v>
      </c>
      <c r="G209" s="2">
        <v>0.15</v>
      </c>
      <c r="H209" s="3">
        <f t="shared" si="46"/>
        <v>64.400000000000006</v>
      </c>
      <c r="I209">
        <v>240</v>
      </c>
      <c r="J209" s="4">
        <f t="shared" si="47"/>
        <v>4.2933333333333339</v>
      </c>
      <c r="K209" s="1">
        <f t="shared" si="40"/>
        <v>4</v>
      </c>
      <c r="L209" t="s">
        <v>81</v>
      </c>
      <c r="M209" s="3">
        <f t="shared" si="48"/>
        <v>4</v>
      </c>
      <c r="N209" s="11"/>
    </row>
    <row r="210" spans="2:14" x14ac:dyDescent="0.25">
      <c r="B210" t="s">
        <v>242</v>
      </c>
      <c r="C210" t="s">
        <v>55</v>
      </c>
      <c r="D210" t="s">
        <v>124</v>
      </c>
      <c r="E210" t="s">
        <v>273</v>
      </c>
      <c r="F210" s="3">
        <v>48</v>
      </c>
      <c r="G210" s="2">
        <v>0.15</v>
      </c>
      <c r="H210" s="3">
        <f t="shared" si="46"/>
        <v>55.2</v>
      </c>
      <c r="I210">
        <v>240</v>
      </c>
      <c r="J210" s="4">
        <f t="shared" si="47"/>
        <v>3.68</v>
      </c>
      <c r="K210" s="1">
        <f t="shared" si="40"/>
        <v>4</v>
      </c>
      <c r="L210" t="s">
        <v>282</v>
      </c>
      <c r="M210" s="3">
        <f t="shared" si="48"/>
        <v>4</v>
      </c>
      <c r="N210" s="11"/>
    </row>
    <row r="211" spans="2:14" x14ac:dyDescent="0.25">
      <c r="B211" t="s">
        <v>242</v>
      </c>
      <c r="C211" t="s">
        <v>55</v>
      </c>
      <c r="D211" t="s">
        <v>124</v>
      </c>
      <c r="E211" t="s">
        <v>274</v>
      </c>
      <c r="F211" s="3">
        <v>58</v>
      </c>
      <c r="G211" s="2">
        <v>0.15</v>
      </c>
      <c r="H211" s="3">
        <f t="shared" si="46"/>
        <v>66.7</v>
      </c>
      <c r="I211">
        <v>240</v>
      </c>
      <c r="J211" s="4">
        <f t="shared" si="47"/>
        <v>4.4466666666666672</v>
      </c>
      <c r="K211" s="1">
        <f t="shared" si="40"/>
        <v>4</v>
      </c>
      <c r="L211" t="s">
        <v>84</v>
      </c>
      <c r="M211" s="3">
        <f t="shared" si="48"/>
        <v>4</v>
      </c>
      <c r="N211" s="11"/>
    </row>
    <row r="212" spans="2:14" x14ac:dyDescent="0.25">
      <c r="B212" t="s">
        <v>242</v>
      </c>
      <c r="C212" t="s">
        <v>55</v>
      </c>
      <c r="D212" t="s">
        <v>124</v>
      </c>
      <c r="E212" t="s">
        <v>275</v>
      </c>
      <c r="F212" s="3">
        <v>28</v>
      </c>
      <c r="G212" s="2">
        <v>0.15</v>
      </c>
      <c r="H212" s="3">
        <f t="shared" si="46"/>
        <v>32.200000000000003</v>
      </c>
      <c r="I212">
        <v>240</v>
      </c>
      <c r="J212" s="4">
        <f t="shared" si="47"/>
        <v>2.1466666666666669</v>
      </c>
      <c r="K212" s="1">
        <f t="shared" si="40"/>
        <v>2</v>
      </c>
      <c r="L212" t="s">
        <v>112</v>
      </c>
      <c r="M212" s="3">
        <f t="shared" si="48"/>
        <v>2</v>
      </c>
      <c r="N212" s="11"/>
    </row>
    <row r="213" spans="2:14" x14ac:dyDescent="0.25">
      <c r="B213" t="s">
        <v>242</v>
      </c>
      <c r="C213" t="s">
        <v>55</v>
      </c>
      <c r="D213" t="s">
        <v>124</v>
      </c>
      <c r="E213" t="s">
        <v>276</v>
      </c>
      <c r="F213" s="3">
        <v>48</v>
      </c>
      <c r="G213" s="2">
        <v>0.15</v>
      </c>
      <c r="H213" s="3">
        <f t="shared" si="46"/>
        <v>55.2</v>
      </c>
      <c r="I213">
        <v>240</v>
      </c>
      <c r="J213" s="4">
        <f t="shared" si="47"/>
        <v>3.68</v>
      </c>
      <c r="K213" s="1">
        <f t="shared" si="40"/>
        <v>4</v>
      </c>
      <c r="L213" t="s">
        <v>81</v>
      </c>
      <c r="M213" s="3">
        <f t="shared" si="48"/>
        <v>4</v>
      </c>
      <c r="N213" s="11"/>
    </row>
    <row r="214" spans="2:14" x14ac:dyDescent="0.25">
      <c r="B214" t="s">
        <v>242</v>
      </c>
      <c r="C214" t="s">
        <v>55</v>
      </c>
      <c r="D214" t="s">
        <v>124</v>
      </c>
      <c r="E214" t="s">
        <v>277</v>
      </c>
      <c r="F214" s="3">
        <v>26</v>
      </c>
      <c r="G214" s="2">
        <v>0.15</v>
      </c>
      <c r="H214" s="3">
        <f t="shared" si="46"/>
        <v>29.9</v>
      </c>
      <c r="I214">
        <v>240</v>
      </c>
      <c r="J214" s="4">
        <f t="shared" si="47"/>
        <v>1.9933333333333332</v>
      </c>
      <c r="K214" s="1">
        <f t="shared" si="40"/>
        <v>2</v>
      </c>
      <c r="L214" t="s">
        <v>113</v>
      </c>
      <c r="M214" s="3">
        <f t="shared" si="48"/>
        <v>2</v>
      </c>
      <c r="N214" s="11"/>
    </row>
    <row r="215" spans="2:14" x14ac:dyDescent="0.25">
      <c r="B215" t="s">
        <v>242</v>
      </c>
      <c r="C215" t="s">
        <v>55</v>
      </c>
      <c r="D215" t="s">
        <v>124</v>
      </c>
      <c r="E215" t="s">
        <v>278</v>
      </c>
      <c r="F215" s="3">
        <v>30</v>
      </c>
      <c r="G215" s="2">
        <v>0.15</v>
      </c>
      <c r="H215" s="3">
        <f t="shared" si="46"/>
        <v>34.5</v>
      </c>
      <c r="I215">
        <v>240</v>
      </c>
      <c r="J215" s="4">
        <f t="shared" si="47"/>
        <v>2.2999999999999998</v>
      </c>
      <c r="K215" s="1">
        <f t="shared" si="40"/>
        <v>2</v>
      </c>
      <c r="L215" t="s">
        <v>84</v>
      </c>
      <c r="M215" s="3">
        <f t="shared" si="48"/>
        <v>2</v>
      </c>
      <c r="N215" s="11"/>
    </row>
    <row r="216" spans="2:14" x14ac:dyDescent="0.25">
      <c r="B216" t="s">
        <v>242</v>
      </c>
      <c r="C216" t="s">
        <v>55</v>
      </c>
      <c r="D216" t="s">
        <v>124</v>
      </c>
      <c r="E216" t="s">
        <v>279</v>
      </c>
      <c r="F216" s="3">
        <v>24</v>
      </c>
      <c r="G216" s="2">
        <v>0.15</v>
      </c>
      <c r="H216" s="3">
        <f t="shared" si="46"/>
        <v>27.6</v>
      </c>
      <c r="I216">
        <v>240</v>
      </c>
      <c r="J216" s="4">
        <f t="shared" si="47"/>
        <v>1.84</v>
      </c>
      <c r="K216" s="1">
        <f t="shared" si="40"/>
        <v>2</v>
      </c>
      <c r="L216" t="s">
        <v>282</v>
      </c>
      <c r="M216" s="3">
        <f t="shared" si="48"/>
        <v>2</v>
      </c>
      <c r="N216" s="11"/>
    </row>
    <row r="217" spans="2:14" x14ac:dyDescent="0.25">
      <c r="B217" t="s">
        <v>242</v>
      </c>
      <c r="C217" t="s">
        <v>55</v>
      </c>
      <c r="D217" t="s">
        <v>124</v>
      </c>
      <c r="E217" t="s">
        <v>280</v>
      </c>
      <c r="F217" s="3">
        <v>28</v>
      </c>
      <c r="G217" s="2">
        <v>0.15</v>
      </c>
      <c r="H217" s="3">
        <f t="shared" si="46"/>
        <v>32.200000000000003</v>
      </c>
      <c r="I217">
        <v>240</v>
      </c>
      <c r="J217" s="4">
        <f t="shared" si="47"/>
        <v>2.1466666666666669</v>
      </c>
      <c r="K217" s="1">
        <f t="shared" si="40"/>
        <v>2</v>
      </c>
      <c r="L217" t="s">
        <v>84</v>
      </c>
      <c r="M217" s="3">
        <f t="shared" si="48"/>
        <v>2</v>
      </c>
      <c r="N217" s="11"/>
    </row>
    <row r="218" spans="2:14" x14ac:dyDescent="0.25">
      <c r="B218" t="s">
        <v>242</v>
      </c>
      <c r="C218" t="s">
        <v>75</v>
      </c>
      <c r="D218" t="s">
        <v>124</v>
      </c>
      <c r="E218" t="s">
        <v>283</v>
      </c>
      <c r="F218" s="3">
        <v>24</v>
      </c>
      <c r="G218" s="2">
        <v>0.15</v>
      </c>
      <c r="H218" s="3">
        <f t="shared" ref="H218:H223" si="49">+F218+(F218*G218)</f>
        <v>27.6</v>
      </c>
      <c r="I218">
        <v>240</v>
      </c>
      <c r="J218" s="4">
        <f t="shared" ref="J218:J223" si="50">+H218/(3600/I218)</f>
        <v>1.84</v>
      </c>
      <c r="K218" s="1">
        <f t="shared" si="40"/>
        <v>2</v>
      </c>
      <c r="L218" t="s">
        <v>282</v>
      </c>
      <c r="M218" s="3">
        <f t="shared" si="48"/>
        <v>2</v>
      </c>
      <c r="N218" s="11"/>
    </row>
    <row r="219" spans="2:14" x14ac:dyDescent="0.25">
      <c r="B219" t="s">
        <v>242</v>
      </c>
      <c r="C219" t="s">
        <v>75</v>
      </c>
      <c r="D219" t="s">
        <v>124</v>
      </c>
      <c r="E219" t="s">
        <v>284</v>
      </c>
      <c r="F219" s="3">
        <v>56</v>
      </c>
      <c r="G219" s="2">
        <v>0.15</v>
      </c>
      <c r="H219" s="3">
        <f t="shared" si="49"/>
        <v>64.400000000000006</v>
      </c>
      <c r="I219">
        <v>240</v>
      </c>
      <c r="J219" s="4">
        <f t="shared" si="50"/>
        <v>4.2933333333333339</v>
      </c>
      <c r="K219" s="1">
        <f t="shared" si="40"/>
        <v>4</v>
      </c>
      <c r="L219" t="s">
        <v>84</v>
      </c>
      <c r="M219" s="3">
        <f t="shared" si="48"/>
        <v>4</v>
      </c>
      <c r="N219" s="11"/>
    </row>
    <row r="220" spans="2:14" x14ac:dyDescent="0.25">
      <c r="B220" t="s">
        <v>242</v>
      </c>
      <c r="C220" t="s">
        <v>75</v>
      </c>
      <c r="D220" t="s">
        <v>124</v>
      </c>
      <c r="E220" t="s">
        <v>285</v>
      </c>
      <c r="F220" s="3">
        <v>20</v>
      </c>
      <c r="G220" s="2">
        <v>0.15</v>
      </c>
      <c r="H220" s="3">
        <f t="shared" si="49"/>
        <v>23</v>
      </c>
      <c r="I220">
        <v>240</v>
      </c>
      <c r="J220" s="4">
        <f t="shared" si="50"/>
        <v>1.5333333333333334</v>
      </c>
      <c r="K220" s="1">
        <f t="shared" si="40"/>
        <v>2</v>
      </c>
      <c r="L220" t="s">
        <v>113</v>
      </c>
      <c r="M220" s="3">
        <f t="shared" si="48"/>
        <v>2</v>
      </c>
      <c r="N220" s="11"/>
    </row>
    <row r="221" spans="2:14" x14ac:dyDescent="0.25">
      <c r="B221" t="s">
        <v>242</v>
      </c>
      <c r="C221" t="s">
        <v>75</v>
      </c>
      <c r="D221" t="s">
        <v>124</v>
      </c>
      <c r="E221" t="s">
        <v>286</v>
      </c>
      <c r="F221" s="3">
        <v>37.5</v>
      </c>
      <c r="G221" s="2">
        <v>0.15</v>
      </c>
      <c r="H221" s="3">
        <f t="shared" si="49"/>
        <v>43.125</v>
      </c>
      <c r="I221">
        <v>240</v>
      </c>
      <c r="J221" s="4">
        <f t="shared" si="50"/>
        <v>2.875</v>
      </c>
      <c r="K221" s="1">
        <f t="shared" si="40"/>
        <v>3</v>
      </c>
      <c r="L221" t="s">
        <v>84</v>
      </c>
      <c r="M221" s="3">
        <f t="shared" si="48"/>
        <v>3</v>
      </c>
      <c r="N221" s="11"/>
    </row>
    <row r="222" spans="2:14" x14ac:dyDescent="0.25">
      <c r="B222" t="s">
        <v>242</v>
      </c>
      <c r="C222" t="s">
        <v>75</v>
      </c>
      <c r="D222" t="s">
        <v>124</v>
      </c>
      <c r="E222" t="s">
        <v>287</v>
      </c>
      <c r="F222" s="3">
        <v>48</v>
      </c>
      <c r="G222" s="2">
        <v>0.15</v>
      </c>
      <c r="H222" s="3">
        <f t="shared" si="49"/>
        <v>55.2</v>
      </c>
      <c r="I222">
        <v>240</v>
      </c>
      <c r="J222" s="4">
        <f t="shared" si="50"/>
        <v>3.68</v>
      </c>
      <c r="K222" s="1">
        <f t="shared" si="40"/>
        <v>4</v>
      </c>
      <c r="L222" t="s">
        <v>112</v>
      </c>
      <c r="M222" s="3">
        <v>1</v>
      </c>
      <c r="N222" s="11"/>
    </row>
    <row r="223" spans="2:14" x14ac:dyDescent="0.25">
      <c r="B223" t="s">
        <v>242</v>
      </c>
      <c r="C223" t="s">
        <v>75</v>
      </c>
      <c r="D223" t="s">
        <v>124</v>
      </c>
      <c r="E223" t="s">
        <v>288</v>
      </c>
      <c r="F223" s="3">
        <v>24</v>
      </c>
      <c r="G223" s="2">
        <v>0.15</v>
      </c>
      <c r="H223" s="3">
        <f t="shared" si="49"/>
        <v>27.6</v>
      </c>
      <c r="I223">
        <v>240</v>
      </c>
      <c r="J223" s="4">
        <f t="shared" si="50"/>
        <v>1.84</v>
      </c>
      <c r="K223" s="1">
        <f t="shared" si="40"/>
        <v>2</v>
      </c>
      <c r="L223" t="s">
        <v>84</v>
      </c>
      <c r="M223" s="3">
        <f t="shared" si="48"/>
        <v>2</v>
      </c>
      <c r="N223" s="11"/>
    </row>
    <row r="224" spans="2:14" x14ac:dyDescent="0.25">
      <c r="B224" t="s">
        <v>242</v>
      </c>
      <c r="C224" t="s">
        <v>75</v>
      </c>
      <c r="D224" t="s">
        <v>124</v>
      </c>
      <c r="E224" t="s">
        <v>289</v>
      </c>
      <c r="F224" s="3">
        <v>22</v>
      </c>
      <c r="G224" s="2">
        <v>0.15</v>
      </c>
      <c r="H224" s="3">
        <f t="shared" ref="H224:H240" si="51">+F224+(F224*G224)</f>
        <v>25.3</v>
      </c>
      <c r="I224">
        <v>240</v>
      </c>
      <c r="J224" s="4">
        <f t="shared" ref="J224:J240" si="52">+H224/(3600/I224)</f>
        <v>1.6866666666666668</v>
      </c>
      <c r="K224" s="1">
        <f t="shared" si="40"/>
        <v>2</v>
      </c>
      <c r="L224" t="s">
        <v>306</v>
      </c>
      <c r="M224" s="3">
        <f t="shared" si="48"/>
        <v>2</v>
      </c>
      <c r="N224" s="11"/>
    </row>
    <row r="225" spans="2:14" x14ac:dyDescent="0.25">
      <c r="B225" t="s">
        <v>242</v>
      </c>
      <c r="C225" t="s">
        <v>75</v>
      </c>
      <c r="D225" t="s">
        <v>124</v>
      </c>
      <c r="E225" t="s">
        <v>290</v>
      </c>
      <c r="F225" s="3">
        <v>15</v>
      </c>
      <c r="G225" s="2">
        <v>0.15</v>
      </c>
      <c r="H225" s="3">
        <f t="shared" si="51"/>
        <v>17.25</v>
      </c>
      <c r="I225">
        <v>240</v>
      </c>
      <c r="J225" s="4">
        <f t="shared" si="52"/>
        <v>1.1499999999999999</v>
      </c>
      <c r="K225" s="1">
        <f t="shared" si="40"/>
        <v>1</v>
      </c>
      <c r="L225" t="s">
        <v>307</v>
      </c>
      <c r="M225" s="3">
        <f t="shared" si="48"/>
        <v>1</v>
      </c>
      <c r="N225" s="11"/>
    </row>
    <row r="226" spans="2:14" x14ac:dyDescent="0.25">
      <c r="B226" t="s">
        <v>242</v>
      </c>
      <c r="C226" t="s">
        <v>75</v>
      </c>
      <c r="D226" t="s">
        <v>124</v>
      </c>
      <c r="E226" t="s">
        <v>291</v>
      </c>
      <c r="F226" s="3">
        <v>22</v>
      </c>
      <c r="G226" s="2">
        <v>0.15</v>
      </c>
      <c r="H226" s="3">
        <f t="shared" si="51"/>
        <v>25.3</v>
      </c>
      <c r="I226">
        <v>240</v>
      </c>
      <c r="J226" s="4">
        <f t="shared" si="52"/>
        <v>1.6866666666666668</v>
      </c>
      <c r="K226" s="1">
        <f t="shared" si="40"/>
        <v>2</v>
      </c>
      <c r="L226" t="s">
        <v>307</v>
      </c>
      <c r="M226" s="3">
        <f t="shared" si="48"/>
        <v>2</v>
      </c>
      <c r="N226" s="11"/>
    </row>
    <row r="227" spans="2:14" x14ac:dyDescent="0.25">
      <c r="B227" t="s">
        <v>242</v>
      </c>
      <c r="C227" t="s">
        <v>75</v>
      </c>
      <c r="D227" t="s">
        <v>124</v>
      </c>
      <c r="E227" t="s">
        <v>292</v>
      </c>
      <c r="F227" s="3">
        <v>20</v>
      </c>
      <c r="G227" s="2">
        <v>0.15</v>
      </c>
      <c r="H227" s="3">
        <f t="shared" si="51"/>
        <v>23</v>
      </c>
      <c r="I227">
        <v>240</v>
      </c>
      <c r="J227" s="4">
        <f t="shared" si="52"/>
        <v>1.5333333333333334</v>
      </c>
      <c r="K227" s="1">
        <f t="shared" si="40"/>
        <v>2</v>
      </c>
      <c r="L227" t="s">
        <v>282</v>
      </c>
      <c r="M227" s="3">
        <f t="shared" si="48"/>
        <v>2</v>
      </c>
      <c r="N227" s="11"/>
    </row>
    <row r="228" spans="2:14" x14ac:dyDescent="0.25">
      <c r="B228" t="s">
        <v>242</v>
      </c>
      <c r="C228" t="s">
        <v>75</v>
      </c>
      <c r="D228" t="s">
        <v>124</v>
      </c>
      <c r="E228" t="s">
        <v>293</v>
      </c>
      <c r="F228" s="3">
        <v>22</v>
      </c>
      <c r="G228" s="2">
        <v>0.15</v>
      </c>
      <c r="H228" s="3">
        <f t="shared" si="51"/>
        <v>25.3</v>
      </c>
      <c r="I228">
        <v>240</v>
      </c>
      <c r="J228" s="4">
        <f t="shared" si="52"/>
        <v>1.6866666666666668</v>
      </c>
      <c r="K228" s="1">
        <f t="shared" si="40"/>
        <v>2</v>
      </c>
      <c r="L228" t="s">
        <v>308</v>
      </c>
      <c r="M228" s="3">
        <f t="shared" si="48"/>
        <v>2</v>
      </c>
      <c r="N228" s="11"/>
    </row>
    <row r="229" spans="2:14" x14ac:dyDescent="0.25">
      <c r="B229" t="s">
        <v>242</v>
      </c>
      <c r="C229" t="s">
        <v>75</v>
      </c>
      <c r="D229" t="s">
        <v>124</v>
      </c>
      <c r="E229" t="s">
        <v>294</v>
      </c>
      <c r="F229" s="3">
        <v>20.5</v>
      </c>
      <c r="G229" s="2">
        <v>0.15</v>
      </c>
      <c r="H229" s="3">
        <f t="shared" si="51"/>
        <v>23.574999999999999</v>
      </c>
      <c r="I229">
        <v>240</v>
      </c>
      <c r="J229" s="4">
        <f t="shared" si="52"/>
        <v>1.5716666666666665</v>
      </c>
      <c r="K229" s="1">
        <f t="shared" si="40"/>
        <v>2</v>
      </c>
      <c r="L229" t="s">
        <v>113</v>
      </c>
      <c r="M229" s="3">
        <f t="shared" si="48"/>
        <v>2</v>
      </c>
      <c r="N229" s="11"/>
    </row>
    <row r="230" spans="2:14" x14ac:dyDescent="0.25">
      <c r="B230" t="s">
        <v>242</v>
      </c>
      <c r="C230" t="s">
        <v>75</v>
      </c>
      <c r="D230" t="s">
        <v>124</v>
      </c>
      <c r="E230" t="s">
        <v>295</v>
      </c>
      <c r="F230" s="3">
        <v>22</v>
      </c>
      <c r="G230" s="2">
        <v>0.15</v>
      </c>
      <c r="H230" s="3">
        <f t="shared" si="51"/>
        <v>25.3</v>
      </c>
      <c r="I230">
        <v>240</v>
      </c>
      <c r="J230" s="4">
        <f t="shared" si="52"/>
        <v>1.6866666666666668</v>
      </c>
      <c r="K230" s="1">
        <f t="shared" si="40"/>
        <v>2</v>
      </c>
      <c r="L230" t="s">
        <v>81</v>
      </c>
      <c r="M230" s="3">
        <f t="shared" si="48"/>
        <v>2</v>
      </c>
      <c r="N230" s="11"/>
    </row>
    <row r="231" spans="2:14" x14ac:dyDescent="0.25">
      <c r="B231" t="s">
        <v>242</v>
      </c>
      <c r="C231" t="s">
        <v>75</v>
      </c>
      <c r="D231" t="s">
        <v>124</v>
      </c>
      <c r="E231" t="s">
        <v>296</v>
      </c>
      <c r="F231" s="3">
        <v>34</v>
      </c>
      <c r="G231" s="2">
        <v>0.15</v>
      </c>
      <c r="H231" s="3">
        <f t="shared" si="51"/>
        <v>39.1</v>
      </c>
      <c r="I231">
        <v>240</v>
      </c>
      <c r="J231" s="4">
        <f t="shared" si="52"/>
        <v>2.6066666666666669</v>
      </c>
      <c r="K231" s="1">
        <f t="shared" si="40"/>
        <v>3</v>
      </c>
      <c r="L231" t="s">
        <v>80</v>
      </c>
      <c r="M231" s="3">
        <f t="shared" si="48"/>
        <v>3</v>
      </c>
      <c r="N231" s="11"/>
    </row>
    <row r="232" spans="2:14" x14ac:dyDescent="0.25">
      <c r="B232" t="s">
        <v>242</v>
      </c>
      <c r="C232" t="s">
        <v>75</v>
      </c>
      <c r="D232" t="s">
        <v>124</v>
      </c>
      <c r="E232" t="s">
        <v>297</v>
      </c>
      <c r="F232" s="3">
        <v>48</v>
      </c>
      <c r="G232" s="2">
        <v>0.15</v>
      </c>
      <c r="H232" s="3">
        <f t="shared" si="51"/>
        <v>55.2</v>
      </c>
      <c r="I232">
        <v>240</v>
      </c>
      <c r="J232" s="4">
        <f t="shared" si="52"/>
        <v>3.68</v>
      </c>
      <c r="K232" s="1">
        <f t="shared" si="40"/>
        <v>4</v>
      </c>
      <c r="L232" t="s">
        <v>309</v>
      </c>
      <c r="M232" s="3">
        <f t="shared" si="48"/>
        <v>4</v>
      </c>
      <c r="N232" s="11"/>
    </row>
    <row r="233" spans="2:14" x14ac:dyDescent="0.25">
      <c r="B233" t="s">
        <v>242</v>
      </c>
      <c r="C233" t="s">
        <v>75</v>
      </c>
      <c r="D233" t="s">
        <v>124</v>
      </c>
      <c r="E233" t="s">
        <v>298</v>
      </c>
      <c r="F233" s="3">
        <v>20</v>
      </c>
      <c r="G233" s="2">
        <v>0.15</v>
      </c>
      <c r="H233" s="3">
        <f t="shared" si="51"/>
        <v>23</v>
      </c>
      <c r="I233">
        <v>240</v>
      </c>
      <c r="J233" s="4">
        <f t="shared" si="52"/>
        <v>1.5333333333333334</v>
      </c>
      <c r="K233" s="1">
        <f t="shared" si="40"/>
        <v>2</v>
      </c>
      <c r="L233" t="s">
        <v>113</v>
      </c>
      <c r="M233" s="3">
        <f t="shared" si="48"/>
        <v>2</v>
      </c>
      <c r="N233" s="11"/>
    </row>
    <row r="234" spans="2:14" x14ac:dyDescent="0.25">
      <c r="B234" t="s">
        <v>242</v>
      </c>
      <c r="C234" t="s">
        <v>75</v>
      </c>
      <c r="D234" t="s">
        <v>124</v>
      </c>
      <c r="E234" t="s">
        <v>299</v>
      </c>
      <c r="F234" s="3">
        <v>28</v>
      </c>
      <c r="G234" s="2">
        <v>0.15</v>
      </c>
      <c r="H234" s="3">
        <f t="shared" si="51"/>
        <v>32.200000000000003</v>
      </c>
      <c r="I234">
        <v>240</v>
      </c>
      <c r="J234" s="4">
        <f t="shared" si="52"/>
        <v>2.1466666666666669</v>
      </c>
      <c r="K234" s="1">
        <f t="shared" si="40"/>
        <v>2</v>
      </c>
      <c r="L234" t="s">
        <v>84</v>
      </c>
      <c r="M234" s="3">
        <f t="shared" si="48"/>
        <v>2</v>
      </c>
      <c r="N234" s="11"/>
    </row>
    <row r="235" spans="2:14" x14ac:dyDescent="0.25">
      <c r="B235" t="s">
        <v>242</v>
      </c>
      <c r="C235" t="s">
        <v>75</v>
      </c>
      <c r="D235" t="s">
        <v>124</v>
      </c>
      <c r="E235" t="s">
        <v>300</v>
      </c>
      <c r="F235" s="3">
        <v>36</v>
      </c>
      <c r="G235" s="2">
        <v>0.15</v>
      </c>
      <c r="H235" s="3">
        <f t="shared" si="51"/>
        <v>41.4</v>
      </c>
      <c r="I235">
        <v>240</v>
      </c>
      <c r="J235" s="4">
        <f t="shared" si="52"/>
        <v>2.76</v>
      </c>
      <c r="K235" s="1">
        <f t="shared" si="40"/>
        <v>3</v>
      </c>
      <c r="L235" t="s">
        <v>81</v>
      </c>
      <c r="M235" s="3">
        <f t="shared" si="48"/>
        <v>3</v>
      </c>
      <c r="N235" s="11"/>
    </row>
    <row r="236" spans="2:14" x14ac:dyDescent="0.25">
      <c r="B236" t="s">
        <v>242</v>
      </c>
      <c r="C236" t="s">
        <v>75</v>
      </c>
      <c r="D236" t="s">
        <v>124</v>
      </c>
      <c r="E236" t="s">
        <v>301</v>
      </c>
      <c r="F236" s="3">
        <v>16</v>
      </c>
      <c r="G236" s="2">
        <v>0.15</v>
      </c>
      <c r="H236" s="3">
        <f t="shared" si="51"/>
        <v>18.399999999999999</v>
      </c>
      <c r="I236">
        <v>240</v>
      </c>
      <c r="J236" s="4">
        <f t="shared" si="52"/>
        <v>1.2266666666666666</v>
      </c>
      <c r="K236" s="1">
        <f t="shared" si="40"/>
        <v>1</v>
      </c>
      <c r="L236" t="s">
        <v>113</v>
      </c>
      <c r="M236" s="3">
        <f t="shared" si="48"/>
        <v>1</v>
      </c>
      <c r="N236" s="11"/>
    </row>
    <row r="237" spans="2:14" x14ac:dyDescent="0.25">
      <c r="B237" t="s">
        <v>242</v>
      </c>
      <c r="C237" t="s">
        <v>75</v>
      </c>
      <c r="D237" t="s">
        <v>124</v>
      </c>
      <c r="E237" t="s">
        <v>302</v>
      </c>
      <c r="F237" s="3">
        <v>128</v>
      </c>
      <c r="G237" s="2">
        <v>0.15</v>
      </c>
      <c r="H237" s="3">
        <f t="shared" si="51"/>
        <v>147.19999999999999</v>
      </c>
      <c r="I237">
        <v>240</v>
      </c>
      <c r="J237" s="4">
        <f t="shared" si="52"/>
        <v>9.8133333333333326</v>
      </c>
      <c r="K237" s="1">
        <f t="shared" si="40"/>
        <v>10</v>
      </c>
      <c r="L237" t="s">
        <v>84</v>
      </c>
      <c r="M237" s="3">
        <f t="shared" si="48"/>
        <v>10</v>
      </c>
      <c r="N237" s="11"/>
    </row>
    <row r="238" spans="2:14" x14ac:dyDescent="0.25">
      <c r="B238" t="s">
        <v>242</v>
      </c>
      <c r="C238" t="s">
        <v>75</v>
      </c>
      <c r="D238" t="s">
        <v>124</v>
      </c>
      <c r="E238" t="s">
        <v>303</v>
      </c>
      <c r="F238" s="3">
        <v>74</v>
      </c>
      <c r="G238" s="2">
        <v>0.15</v>
      </c>
      <c r="H238" s="3">
        <f t="shared" si="51"/>
        <v>85.1</v>
      </c>
      <c r="I238">
        <v>240</v>
      </c>
      <c r="J238" s="4">
        <f t="shared" si="52"/>
        <v>5.6733333333333329</v>
      </c>
      <c r="K238" s="1">
        <f t="shared" si="40"/>
        <v>6</v>
      </c>
      <c r="L238" t="s">
        <v>81</v>
      </c>
      <c r="M238" s="3">
        <f t="shared" si="48"/>
        <v>6</v>
      </c>
      <c r="N238" s="11"/>
    </row>
    <row r="239" spans="2:14" x14ac:dyDescent="0.25">
      <c r="B239" t="s">
        <v>242</v>
      </c>
      <c r="C239" t="s">
        <v>75</v>
      </c>
      <c r="D239" t="s">
        <v>124</v>
      </c>
      <c r="E239" t="s">
        <v>304</v>
      </c>
      <c r="F239" s="3">
        <v>28</v>
      </c>
      <c r="G239" s="2">
        <v>0.15</v>
      </c>
      <c r="H239" s="3">
        <f t="shared" si="51"/>
        <v>32.200000000000003</v>
      </c>
      <c r="I239">
        <v>240</v>
      </c>
      <c r="J239" s="4">
        <f t="shared" si="52"/>
        <v>2.1466666666666669</v>
      </c>
      <c r="K239" s="1">
        <f t="shared" si="40"/>
        <v>2</v>
      </c>
      <c r="L239" t="s">
        <v>113</v>
      </c>
      <c r="M239" s="3">
        <f t="shared" si="48"/>
        <v>2</v>
      </c>
      <c r="N239" s="11"/>
    </row>
    <row r="240" spans="2:14" x14ac:dyDescent="0.25">
      <c r="B240" t="s">
        <v>242</v>
      </c>
      <c r="C240" t="s">
        <v>75</v>
      </c>
      <c r="D240" t="s">
        <v>124</v>
      </c>
      <c r="E240" t="s">
        <v>305</v>
      </c>
      <c r="F240" s="3">
        <v>16</v>
      </c>
      <c r="G240" s="2">
        <v>0.15</v>
      </c>
      <c r="H240" s="3">
        <f t="shared" si="51"/>
        <v>18.399999999999999</v>
      </c>
      <c r="I240">
        <v>240</v>
      </c>
      <c r="J240" s="4">
        <f t="shared" si="52"/>
        <v>1.2266666666666666</v>
      </c>
      <c r="K240" s="1">
        <f t="shared" si="40"/>
        <v>1</v>
      </c>
      <c r="L240" t="s">
        <v>84</v>
      </c>
      <c r="M240" s="3">
        <f t="shared" si="48"/>
        <v>1</v>
      </c>
      <c r="N240" s="11"/>
    </row>
    <row r="241" spans="2:14" x14ac:dyDescent="0.25">
      <c r="B241" t="s">
        <v>242</v>
      </c>
      <c r="C241" t="s">
        <v>75</v>
      </c>
      <c r="D241" t="s">
        <v>310</v>
      </c>
      <c r="E241" t="s">
        <v>311</v>
      </c>
      <c r="F241" s="3">
        <v>31.5</v>
      </c>
      <c r="G241" s="2">
        <v>0.15</v>
      </c>
      <c r="H241" s="3">
        <f t="shared" ref="H241:H256" si="53">+F241+(F241*G241)</f>
        <v>36.225000000000001</v>
      </c>
      <c r="I241">
        <v>240</v>
      </c>
      <c r="J241" s="4">
        <f t="shared" ref="J241:J256" si="54">+H241/(3600/I241)</f>
        <v>2.415</v>
      </c>
      <c r="K241" s="1">
        <f t="shared" si="40"/>
        <v>2</v>
      </c>
      <c r="L241" t="s">
        <v>325</v>
      </c>
      <c r="M241" s="3">
        <v>2</v>
      </c>
      <c r="N241" s="11"/>
    </row>
    <row r="242" spans="2:14" x14ac:dyDescent="0.25">
      <c r="B242" t="s">
        <v>242</v>
      </c>
      <c r="C242" t="s">
        <v>75</v>
      </c>
      <c r="D242" t="s">
        <v>310</v>
      </c>
      <c r="E242" t="s">
        <v>312</v>
      </c>
      <c r="F242" s="3">
        <v>31.5</v>
      </c>
      <c r="G242" s="2">
        <v>0.15</v>
      </c>
      <c r="H242" s="3">
        <f t="shared" si="53"/>
        <v>36.225000000000001</v>
      </c>
      <c r="I242">
        <v>240</v>
      </c>
      <c r="J242" s="4">
        <f t="shared" si="54"/>
        <v>2.415</v>
      </c>
      <c r="K242" s="1">
        <f t="shared" si="40"/>
        <v>2</v>
      </c>
      <c r="L242" t="s">
        <v>325</v>
      </c>
      <c r="M242" s="3">
        <v>2</v>
      </c>
      <c r="N242" s="11"/>
    </row>
    <row r="243" spans="2:14" x14ac:dyDescent="0.25">
      <c r="B243" t="s">
        <v>242</v>
      </c>
      <c r="C243" t="s">
        <v>75</v>
      </c>
      <c r="D243" t="s">
        <v>310</v>
      </c>
      <c r="E243" t="s">
        <v>313</v>
      </c>
      <c r="F243" s="3">
        <v>33</v>
      </c>
      <c r="G243" s="2">
        <v>0.15</v>
      </c>
      <c r="H243" s="3">
        <f t="shared" si="53"/>
        <v>37.950000000000003</v>
      </c>
      <c r="I243">
        <v>240</v>
      </c>
      <c r="J243" s="4">
        <f t="shared" si="54"/>
        <v>2.5300000000000002</v>
      </c>
      <c r="K243" s="1">
        <f t="shared" si="40"/>
        <v>3</v>
      </c>
      <c r="L243" t="s">
        <v>112</v>
      </c>
      <c r="M243" s="3">
        <v>3</v>
      </c>
      <c r="N243" s="11"/>
    </row>
    <row r="244" spans="2:14" x14ac:dyDescent="0.25">
      <c r="B244" t="s">
        <v>242</v>
      </c>
      <c r="C244" t="s">
        <v>75</v>
      </c>
      <c r="D244" t="s">
        <v>310</v>
      </c>
      <c r="E244" t="s">
        <v>314</v>
      </c>
      <c r="F244" s="3">
        <v>12</v>
      </c>
      <c r="G244" s="2">
        <v>0.15</v>
      </c>
      <c r="H244" s="3">
        <f t="shared" si="53"/>
        <v>13.8</v>
      </c>
      <c r="I244">
        <v>240</v>
      </c>
      <c r="J244" s="4">
        <f t="shared" si="54"/>
        <v>0.92</v>
      </c>
      <c r="K244" s="1">
        <f t="shared" si="40"/>
        <v>1</v>
      </c>
      <c r="L244" t="s">
        <v>81</v>
      </c>
      <c r="M244" s="3">
        <v>1</v>
      </c>
      <c r="N244" s="11"/>
    </row>
    <row r="245" spans="2:14" x14ac:dyDescent="0.25">
      <c r="B245" t="s">
        <v>242</v>
      </c>
      <c r="C245" t="s">
        <v>75</v>
      </c>
      <c r="D245" t="s">
        <v>310</v>
      </c>
      <c r="E245" t="s">
        <v>315</v>
      </c>
      <c r="F245" s="3">
        <v>32</v>
      </c>
      <c r="G245" s="2">
        <v>0.15</v>
      </c>
      <c r="H245" s="3">
        <f t="shared" si="53"/>
        <v>36.799999999999997</v>
      </c>
      <c r="I245">
        <v>240</v>
      </c>
      <c r="J245" s="4">
        <f t="shared" si="54"/>
        <v>2.4533333333333331</v>
      </c>
      <c r="K245" s="1">
        <f t="shared" si="40"/>
        <v>2</v>
      </c>
      <c r="L245" t="s">
        <v>325</v>
      </c>
      <c r="M245" s="3">
        <v>2</v>
      </c>
      <c r="N245" s="11"/>
    </row>
    <row r="246" spans="2:14" x14ac:dyDescent="0.25">
      <c r="B246" t="s">
        <v>242</v>
      </c>
      <c r="C246" t="s">
        <v>75</v>
      </c>
      <c r="D246" t="s">
        <v>310</v>
      </c>
      <c r="E246" s="7" t="s">
        <v>327</v>
      </c>
      <c r="F246" s="3">
        <v>125</v>
      </c>
      <c r="G246" s="2">
        <v>0.15</v>
      </c>
      <c r="H246" s="3">
        <f t="shared" si="53"/>
        <v>143.75</v>
      </c>
      <c r="I246">
        <v>240</v>
      </c>
      <c r="J246" s="4">
        <f t="shared" si="54"/>
        <v>9.5833333333333339</v>
      </c>
      <c r="K246" s="1">
        <f t="shared" si="40"/>
        <v>10</v>
      </c>
      <c r="L246" t="s">
        <v>112</v>
      </c>
      <c r="M246" s="3">
        <v>2</v>
      </c>
      <c r="N246" s="11"/>
    </row>
    <row r="247" spans="2:14" x14ac:dyDescent="0.25">
      <c r="B247" t="s">
        <v>242</v>
      </c>
      <c r="C247" t="s">
        <v>75</v>
      </c>
      <c r="D247" t="s">
        <v>310</v>
      </c>
      <c r="E247" t="s">
        <v>326</v>
      </c>
      <c r="F247" s="3"/>
      <c r="G247" s="2">
        <v>0.15</v>
      </c>
      <c r="H247" s="3">
        <f t="shared" si="53"/>
        <v>0</v>
      </c>
      <c r="I247">
        <v>240</v>
      </c>
      <c r="J247" s="4">
        <f t="shared" si="54"/>
        <v>0</v>
      </c>
      <c r="K247" s="1" t="str">
        <f t="shared" si="40"/>
        <v>NA</v>
      </c>
      <c r="L247" t="s">
        <v>81</v>
      </c>
      <c r="M247" s="3">
        <v>8</v>
      </c>
      <c r="N247" s="11"/>
    </row>
    <row r="248" spans="2:14" x14ac:dyDescent="0.25">
      <c r="B248" t="s">
        <v>242</v>
      </c>
      <c r="C248" t="s">
        <v>75</v>
      </c>
      <c r="D248" t="s">
        <v>310</v>
      </c>
      <c r="E248" t="s">
        <v>316</v>
      </c>
      <c r="F248" s="3">
        <v>21.5</v>
      </c>
      <c r="G248" s="2">
        <v>0.15</v>
      </c>
      <c r="H248" s="3">
        <f t="shared" si="53"/>
        <v>24.725000000000001</v>
      </c>
      <c r="I248">
        <v>240</v>
      </c>
      <c r="J248" s="4">
        <f t="shared" si="54"/>
        <v>1.6483333333333334</v>
      </c>
      <c r="K248" s="1">
        <f t="shared" si="40"/>
        <v>2</v>
      </c>
      <c r="L248" t="s">
        <v>81</v>
      </c>
      <c r="M248" s="3">
        <v>2</v>
      </c>
      <c r="N248" s="11"/>
    </row>
    <row r="249" spans="2:14" x14ac:dyDescent="0.25">
      <c r="B249" t="s">
        <v>242</v>
      </c>
      <c r="C249" t="s">
        <v>75</v>
      </c>
      <c r="D249" t="s">
        <v>310</v>
      </c>
      <c r="E249" t="s">
        <v>317</v>
      </c>
      <c r="F249" s="3">
        <v>16</v>
      </c>
      <c r="G249" s="2">
        <v>0.15</v>
      </c>
      <c r="H249" s="3">
        <f t="shared" si="53"/>
        <v>18.399999999999999</v>
      </c>
      <c r="I249">
        <v>240</v>
      </c>
      <c r="J249" s="4">
        <f t="shared" si="54"/>
        <v>1.2266666666666666</v>
      </c>
      <c r="K249" s="1">
        <f t="shared" si="40"/>
        <v>1</v>
      </c>
      <c r="L249" t="s">
        <v>84</v>
      </c>
      <c r="M249" s="3">
        <v>1</v>
      </c>
      <c r="N249" s="11"/>
    </row>
    <row r="250" spans="2:14" x14ac:dyDescent="0.25">
      <c r="B250" t="s">
        <v>242</v>
      </c>
      <c r="C250" t="s">
        <v>75</v>
      </c>
      <c r="D250" t="s">
        <v>310</v>
      </c>
      <c r="E250" t="s">
        <v>318</v>
      </c>
      <c r="F250" s="3">
        <v>21.6</v>
      </c>
      <c r="G250" s="2">
        <v>0.15</v>
      </c>
      <c r="H250" s="3">
        <f t="shared" si="53"/>
        <v>24.840000000000003</v>
      </c>
      <c r="I250">
        <v>240</v>
      </c>
      <c r="J250" s="4">
        <f t="shared" si="54"/>
        <v>1.6560000000000001</v>
      </c>
      <c r="K250" s="1">
        <f t="shared" si="40"/>
        <v>2</v>
      </c>
      <c r="L250" t="s">
        <v>282</v>
      </c>
      <c r="M250" s="3">
        <v>2</v>
      </c>
      <c r="N250" s="11"/>
    </row>
    <row r="251" spans="2:14" x14ac:dyDescent="0.25">
      <c r="B251" t="s">
        <v>242</v>
      </c>
      <c r="C251" t="s">
        <v>75</v>
      </c>
      <c r="D251" t="s">
        <v>310</v>
      </c>
      <c r="E251" t="s">
        <v>105</v>
      </c>
      <c r="F251" s="3">
        <v>26.1</v>
      </c>
      <c r="G251" s="2">
        <v>0.15</v>
      </c>
      <c r="H251" s="3">
        <f t="shared" si="53"/>
        <v>30.015000000000001</v>
      </c>
      <c r="I251">
        <v>240</v>
      </c>
      <c r="J251" s="4">
        <f t="shared" si="54"/>
        <v>2.0009999999999999</v>
      </c>
      <c r="K251" s="1">
        <f t="shared" ref="K251:K314" si="55">IF(SUM(J251:J251)=0,"NA",IF(SUM(J251:J251)&lt;1,1,IF(MOD(SUM(J251:J251),1)&gt;=0.5,ROUNDUP(SUM(J251:J251),0),ROUNDDOWN(SUM(J251:J251),0))))</f>
        <v>2</v>
      </c>
      <c r="L251" t="s">
        <v>56</v>
      </c>
      <c r="M251" s="3">
        <v>2</v>
      </c>
      <c r="N251" s="11"/>
    </row>
    <row r="252" spans="2:14" x14ac:dyDescent="0.25">
      <c r="B252" t="s">
        <v>242</v>
      </c>
      <c r="C252" t="s">
        <v>75</v>
      </c>
      <c r="D252" t="s">
        <v>310</v>
      </c>
      <c r="E252" t="s">
        <v>319</v>
      </c>
      <c r="F252" s="3">
        <v>32</v>
      </c>
      <c r="G252" s="2">
        <v>0.15</v>
      </c>
      <c r="H252" s="3">
        <f t="shared" si="53"/>
        <v>36.799999999999997</v>
      </c>
      <c r="I252">
        <v>240</v>
      </c>
      <c r="J252" s="4">
        <f t="shared" si="54"/>
        <v>2.4533333333333331</v>
      </c>
      <c r="K252" s="1">
        <f t="shared" si="55"/>
        <v>2</v>
      </c>
      <c r="L252" t="s">
        <v>282</v>
      </c>
      <c r="M252" s="3">
        <v>2</v>
      </c>
      <c r="N252" s="11"/>
    </row>
    <row r="253" spans="2:14" x14ac:dyDescent="0.25">
      <c r="B253" t="s">
        <v>242</v>
      </c>
      <c r="C253" t="s">
        <v>75</v>
      </c>
      <c r="D253" t="s">
        <v>310</v>
      </c>
      <c r="E253" t="s">
        <v>320</v>
      </c>
      <c r="F253" s="3">
        <v>49.11</v>
      </c>
      <c r="G253" s="2">
        <v>0.15</v>
      </c>
      <c r="H253" s="3">
        <f t="shared" si="53"/>
        <v>56.476500000000001</v>
      </c>
      <c r="I253">
        <v>240</v>
      </c>
      <c r="J253" s="4">
        <f t="shared" si="54"/>
        <v>3.7650999999999999</v>
      </c>
      <c r="K253" s="1">
        <f t="shared" si="55"/>
        <v>4</v>
      </c>
      <c r="L253" t="s">
        <v>114</v>
      </c>
      <c r="M253" s="3">
        <v>2</v>
      </c>
      <c r="N253" s="11"/>
    </row>
    <row r="254" spans="2:14" x14ac:dyDescent="0.25">
      <c r="B254" t="s">
        <v>242</v>
      </c>
      <c r="C254" t="s">
        <v>75</v>
      </c>
      <c r="D254" t="s">
        <v>310</v>
      </c>
      <c r="E254" t="s">
        <v>321</v>
      </c>
      <c r="F254" s="3"/>
      <c r="G254" s="2">
        <v>0.15</v>
      </c>
      <c r="H254" s="3">
        <f t="shared" si="53"/>
        <v>0</v>
      </c>
      <c r="I254">
        <v>240</v>
      </c>
      <c r="J254" s="4">
        <f t="shared" si="54"/>
        <v>0</v>
      </c>
      <c r="K254" s="1" t="str">
        <f t="shared" si="55"/>
        <v>NA</v>
      </c>
      <c r="L254" t="s">
        <v>324</v>
      </c>
      <c r="M254" s="3">
        <v>2</v>
      </c>
      <c r="N254" s="11"/>
    </row>
    <row r="255" spans="2:14" x14ac:dyDescent="0.25">
      <c r="B255" t="s">
        <v>242</v>
      </c>
      <c r="C255" t="s">
        <v>75</v>
      </c>
      <c r="D255" t="s">
        <v>310</v>
      </c>
      <c r="E255" t="s">
        <v>322</v>
      </c>
      <c r="F255" s="3">
        <v>20</v>
      </c>
      <c r="G255" s="2">
        <v>0.15</v>
      </c>
      <c r="H255" s="3">
        <f t="shared" si="53"/>
        <v>23</v>
      </c>
      <c r="I255">
        <v>240</v>
      </c>
      <c r="J255" s="4">
        <f t="shared" si="54"/>
        <v>1.5333333333333334</v>
      </c>
      <c r="K255" s="1">
        <f t="shared" si="55"/>
        <v>2</v>
      </c>
      <c r="L255" t="s">
        <v>84</v>
      </c>
      <c r="M255" s="3">
        <v>2</v>
      </c>
      <c r="N255" s="11"/>
    </row>
    <row r="256" spans="2:14" x14ac:dyDescent="0.25">
      <c r="B256" t="s">
        <v>242</v>
      </c>
      <c r="C256" t="s">
        <v>75</v>
      </c>
      <c r="D256" t="s">
        <v>310</v>
      </c>
      <c r="E256" t="s">
        <v>323</v>
      </c>
      <c r="F256" s="3">
        <v>84.67</v>
      </c>
      <c r="G256" s="2">
        <v>0.15</v>
      </c>
      <c r="H256" s="3">
        <f t="shared" si="53"/>
        <v>97.370500000000007</v>
      </c>
      <c r="I256">
        <v>240</v>
      </c>
      <c r="J256" s="4">
        <f t="shared" si="54"/>
        <v>6.491366666666667</v>
      </c>
      <c r="K256" s="1">
        <f t="shared" si="55"/>
        <v>6</v>
      </c>
      <c r="L256" t="s">
        <v>81</v>
      </c>
      <c r="M256" s="3">
        <v>6</v>
      </c>
      <c r="N256" s="11"/>
    </row>
    <row r="257" spans="2:14" x14ac:dyDescent="0.25">
      <c r="B257" t="s">
        <v>242</v>
      </c>
      <c r="C257" t="s">
        <v>118</v>
      </c>
      <c r="D257" t="s">
        <v>118</v>
      </c>
      <c r="E257" t="s">
        <v>125</v>
      </c>
      <c r="F257" s="3">
        <v>20</v>
      </c>
      <c r="G257" s="2">
        <v>0.15</v>
      </c>
      <c r="H257" s="3">
        <f t="shared" ref="H257:H290" si="56">+F257+(F257*G257)</f>
        <v>23</v>
      </c>
      <c r="I257">
        <v>240</v>
      </c>
      <c r="J257" s="4">
        <f t="shared" ref="J257:J290" si="57">+H257/(3600/I257)</f>
        <v>1.5333333333333334</v>
      </c>
      <c r="K257" s="1">
        <f t="shared" si="55"/>
        <v>2</v>
      </c>
      <c r="L257" t="s">
        <v>158</v>
      </c>
      <c r="M257" s="3">
        <v>2</v>
      </c>
      <c r="N257" s="11"/>
    </row>
    <row r="258" spans="2:14" x14ac:dyDescent="0.25">
      <c r="B258" t="s">
        <v>242</v>
      </c>
      <c r="C258" t="s">
        <v>118</v>
      </c>
      <c r="D258" t="s">
        <v>118</v>
      </c>
      <c r="E258" t="s">
        <v>126</v>
      </c>
      <c r="F258" s="3">
        <v>56.5</v>
      </c>
      <c r="G258" s="2">
        <v>0.15</v>
      </c>
      <c r="H258" s="3">
        <f t="shared" si="56"/>
        <v>64.974999999999994</v>
      </c>
      <c r="I258">
        <v>240</v>
      </c>
      <c r="J258" s="4">
        <f t="shared" si="57"/>
        <v>4.3316666666666661</v>
      </c>
      <c r="K258" s="1">
        <f t="shared" si="55"/>
        <v>4</v>
      </c>
      <c r="L258" t="s">
        <v>159</v>
      </c>
      <c r="M258" s="3">
        <v>4</v>
      </c>
      <c r="N258" s="11"/>
    </row>
    <row r="259" spans="2:14" x14ac:dyDescent="0.25">
      <c r="B259" t="s">
        <v>242</v>
      </c>
      <c r="C259" t="s">
        <v>118</v>
      </c>
      <c r="D259" t="s">
        <v>118</v>
      </c>
      <c r="E259" t="s">
        <v>127</v>
      </c>
      <c r="F259" s="3">
        <v>52.3</v>
      </c>
      <c r="G259" s="2">
        <v>0.15</v>
      </c>
      <c r="H259" s="3">
        <f t="shared" si="56"/>
        <v>60.144999999999996</v>
      </c>
      <c r="I259">
        <v>240</v>
      </c>
      <c r="J259" s="4">
        <f t="shared" si="57"/>
        <v>4.009666666666666</v>
      </c>
      <c r="K259" s="1">
        <f t="shared" si="55"/>
        <v>4</v>
      </c>
      <c r="L259" t="s">
        <v>160</v>
      </c>
      <c r="M259" s="3">
        <v>4</v>
      </c>
      <c r="N259" s="11"/>
    </row>
    <row r="260" spans="2:14" x14ac:dyDescent="0.25">
      <c r="B260" t="s">
        <v>242</v>
      </c>
      <c r="C260" t="s">
        <v>118</v>
      </c>
      <c r="D260" t="s">
        <v>118</v>
      </c>
      <c r="E260" t="s">
        <v>128</v>
      </c>
      <c r="G260" s="2">
        <v>0.15</v>
      </c>
      <c r="H260" s="3">
        <f t="shared" si="56"/>
        <v>0</v>
      </c>
      <c r="I260">
        <v>240</v>
      </c>
      <c r="J260" s="4">
        <f t="shared" si="57"/>
        <v>0</v>
      </c>
      <c r="K260" s="1" t="str">
        <f t="shared" si="55"/>
        <v>NA</v>
      </c>
      <c r="L260" t="s">
        <v>81</v>
      </c>
      <c r="M260" s="3">
        <v>0</v>
      </c>
      <c r="N260" s="11"/>
    </row>
    <row r="261" spans="2:14" x14ac:dyDescent="0.25">
      <c r="B261" t="s">
        <v>242</v>
      </c>
      <c r="C261" t="s">
        <v>118</v>
      </c>
      <c r="D261" t="s">
        <v>118</v>
      </c>
      <c r="E261" t="s">
        <v>328</v>
      </c>
      <c r="F261" s="3">
        <v>18</v>
      </c>
      <c r="G261" s="2">
        <v>0.15</v>
      </c>
      <c r="H261" s="3">
        <f t="shared" si="56"/>
        <v>20.7</v>
      </c>
      <c r="I261">
        <v>240</v>
      </c>
      <c r="J261" s="4">
        <f t="shared" si="57"/>
        <v>1.38</v>
      </c>
      <c r="K261" s="1">
        <f t="shared" si="55"/>
        <v>1</v>
      </c>
      <c r="L261" t="s">
        <v>161</v>
      </c>
      <c r="M261" s="3">
        <v>1</v>
      </c>
      <c r="N261" s="11"/>
    </row>
    <row r="262" spans="2:14" x14ac:dyDescent="0.25">
      <c r="B262" t="s">
        <v>242</v>
      </c>
      <c r="C262" t="s">
        <v>118</v>
      </c>
      <c r="D262" t="s">
        <v>118</v>
      </c>
      <c r="E262" t="s">
        <v>329</v>
      </c>
      <c r="F262" s="3">
        <v>36</v>
      </c>
      <c r="G262" s="2">
        <v>0.15</v>
      </c>
      <c r="H262" s="3">
        <f t="shared" si="56"/>
        <v>41.4</v>
      </c>
      <c r="I262">
        <v>240</v>
      </c>
      <c r="J262" s="4">
        <f t="shared" si="57"/>
        <v>2.76</v>
      </c>
      <c r="K262" s="1">
        <f t="shared" si="55"/>
        <v>3</v>
      </c>
      <c r="L262" t="s">
        <v>81</v>
      </c>
      <c r="M262" s="3">
        <v>3</v>
      </c>
      <c r="N262" s="11"/>
    </row>
    <row r="263" spans="2:14" x14ac:dyDescent="0.25">
      <c r="B263" t="s">
        <v>242</v>
      </c>
      <c r="C263" t="s">
        <v>118</v>
      </c>
      <c r="D263" t="s">
        <v>118</v>
      </c>
      <c r="E263" t="s">
        <v>131</v>
      </c>
      <c r="F263" s="3"/>
      <c r="G263" s="2">
        <v>0.15</v>
      </c>
      <c r="H263" s="3">
        <f t="shared" si="56"/>
        <v>0</v>
      </c>
      <c r="I263">
        <v>240</v>
      </c>
      <c r="J263" s="4">
        <f t="shared" si="57"/>
        <v>0</v>
      </c>
      <c r="K263" s="1" t="str">
        <f t="shared" si="55"/>
        <v>NA</v>
      </c>
      <c r="L263" t="s">
        <v>81</v>
      </c>
      <c r="M263" s="3" t="s">
        <v>157</v>
      </c>
      <c r="N263" s="11"/>
    </row>
    <row r="264" spans="2:14" x14ac:dyDescent="0.25">
      <c r="B264" t="s">
        <v>242</v>
      </c>
      <c r="C264" t="s">
        <v>118</v>
      </c>
      <c r="D264" t="s">
        <v>118</v>
      </c>
      <c r="E264" t="s">
        <v>132</v>
      </c>
      <c r="F264" s="3"/>
      <c r="G264" s="2">
        <v>0.15</v>
      </c>
      <c r="H264" s="3">
        <f t="shared" si="56"/>
        <v>0</v>
      </c>
      <c r="I264">
        <v>240</v>
      </c>
      <c r="J264" s="4">
        <f t="shared" si="57"/>
        <v>0</v>
      </c>
      <c r="K264" s="1" t="str">
        <f t="shared" si="55"/>
        <v>NA</v>
      </c>
      <c r="L264" t="s">
        <v>162</v>
      </c>
      <c r="M264" s="3">
        <v>1</v>
      </c>
      <c r="N264" s="11"/>
    </row>
    <row r="265" spans="2:14" x14ac:dyDescent="0.25">
      <c r="B265" t="s">
        <v>242</v>
      </c>
      <c r="C265" t="s">
        <v>118</v>
      </c>
      <c r="D265" t="s">
        <v>118</v>
      </c>
      <c r="E265" t="s">
        <v>330</v>
      </c>
      <c r="F265" s="3">
        <v>14</v>
      </c>
      <c r="G265" s="2">
        <v>0.15</v>
      </c>
      <c r="H265" s="3">
        <f t="shared" si="56"/>
        <v>16.100000000000001</v>
      </c>
      <c r="I265">
        <v>240</v>
      </c>
      <c r="J265" s="4">
        <f t="shared" si="57"/>
        <v>1.0733333333333335</v>
      </c>
      <c r="K265" s="1">
        <f t="shared" si="55"/>
        <v>1</v>
      </c>
      <c r="L265" t="s">
        <v>163</v>
      </c>
      <c r="M265" s="3">
        <v>1</v>
      </c>
      <c r="N265" s="11"/>
    </row>
    <row r="266" spans="2:14" x14ac:dyDescent="0.25">
      <c r="B266" t="s">
        <v>242</v>
      </c>
      <c r="C266" t="s">
        <v>118</v>
      </c>
      <c r="D266" t="s">
        <v>118</v>
      </c>
      <c r="E266" t="s">
        <v>135</v>
      </c>
      <c r="F266" s="3">
        <v>16</v>
      </c>
      <c r="G266" s="2">
        <v>0.15</v>
      </c>
      <c r="H266" s="3">
        <f t="shared" si="56"/>
        <v>18.399999999999999</v>
      </c>
      <c r="I266">
        <v>240</v>
      </c>
      <c r="J266" s="4">
        <f t="shared" si="57"/>
        <v>1.2266666666666666</v>
      </c>
      <c r="K266" s="1">
        <f t="shared" si="55"/>
        <v>1</v>
      </c>
      <c r="L266" t="s">
        <v>81</v>
      </c>
      <c r="M266" s="3">
        <v>1</v>
      </c>
      <c r="N266" s="11"/>
    </row>
    <row r="267" spans="2:14" x14ac:dyDescent="0.25">
      <c r="B267" t="s">
        <v>242</v>
      </c>
      <c r="C267" t="s">
        <v>118</v>
      </c>
      <c r="D267" t="s">
        <v>118</v>
      </c>
      <c r="E267" t="s">
        <v>136</v>
      </c>
      <c r="F267" s="3">
        <v>28</v>
      </c>
      <c r="G267" s="2">
        <v>0.15</v>
      </c>
      <c r="H267" s="3">
        <f t="shared" si="56"/>
        <v>32.200000000000003</v>
      </c>
      <c r="I267">
        <v>240</v>
      </c>
      <c r="J267" s="4">
        <f t="shared" si="57"/>
        <v>2.1466666666666669</v>
      </c>
      <c r="K267" s="1">
        <f t="shared" si="55"/>
        <v>2</v>
      </c>
      <c r="L267" t="s">
        <v>165</v>
      </c>
      <c r="M267" s="3">
        <v>2</v>
      </c>
      <c r="N267" s="11"/>
    </row>
    <row r="268" spans="2:14" x14ac:dyDescent="0.25">
      <c r="B268" t="s">
        <v>242</v>
      </c>
      <c r="C268" t="s">
        <v>118</v>
      </c>
      <c r="D268" t="s">
        <v>118</v>
      </c>
      <c r="E268" t="s">
        <v>331</v>
      </c>
      <c r="F268" s="3">
        <v>26</v>
      </c>
      <c r="G268" s="2">
        <v>0.15</v>
      </c>
      <c r="H268" s="3">
        <f t="shared" si="56"/>
        <v>29.9</v>
      </c>
      <c r="I268">
        <v>240</v>
      </c>
      <c r="J268" s="4">
        <f t="shared" si="57"/>
        <v>1.9933333333333332</v>
      </c>
      <c r="K268" s="1">
        <f t="shared" si="55"/>
        <v>2</v>
      </c>
      <c r="L268" t="s">
        <v>81</v>
      </c>
      <c r="M268" s="3">
        <v>2</v>
      </c>
      <c r="N268" s="11"/>
    </row>
    <row r="269" spans="2:14" x14ac:dyDescent="0.25">
      <c r="B269" t="s">
        <v>242</v>
      </c>
      <c r="C269" t="s">
        <v>118</v>
      </c>
      <c r="D269" t="s">
        <v>118</v>
      </c>
      <c r="E269" t="s">
        <v>332</v>
      </c>
      <c r="F269" s="3">
        <v>16</v>
      </c>
      <c r="G269" s="2">
        <v>0.15</v>
      </c>
      <c r="H269" s="3">
        <f t="shared" si="56"/>
        <v>18.399999999999999</v>
      </c>
      <c r="I269">
        <v>240</v>
      </c>
      <c r="J269" s="4">
        <f t="shared" si="57"/>
        <v>1.2266666666666666</v>
      </c>
      <c r="K269" s="1">
        <f t="shared" si="55"/>
        <v>1</v>
      </c>
      <c r="L269" t="s">
        <v>81</v>
      </c>
      <c r="M269" s="3">
        <v>1</v>
      </c>
      <c r="N269" s="11"/>
    </row>
    <row r="270" spans="2:14" x14ac:dyDescent="0.25">
      <c r="B270" t="s">
        <v>242</v>
      </c>
      <c r="C270" t="s">
        <v>118</v>
      </c>
      <c r="D270" t="s">
        <v>118</v>
      </c>
      <c r="E270" t="s">
        <v>134</v>
      </c>
      <c r="F270" s="3"/>
      <c r="G270" s="2">
        <v>0.15</v>
      </c>
      <c r="H270" s="3">
        <f t="shared" si="56"/>
        <v>0</v>
      </c>
      <c r="I270">
        <v>240</v>
      </c>
      <c r="J270" s="4">
        <f t="shared" si="57"/>
        <v>0</v>
      </c>
      <c r="K270" s="1" t="str">
        <f t="shared" si="55"/>
        <v>NA</v>
      </c>
      <c r="L270" t="s">
        <v>164</v>
      </c>
      <c r="M270" s="3" t="s">
        <v>157</v>
      </c>
      <c r="N270" s="11"/>
    </row>
    <row r="271" spans="2:14" x14ac:dyDescent="0.25">
      <c r="B271" t="s">
        <v>242</v>
      </c>
      <c r="C271" t="s">
        <v>118</v>
      </c>
      <c r="D271" t="s">
        <v>118</v>
      </c>
      <c r="E271" t="s">
        <v>333</v>
      </c>
      <c r="F271" s="3">
        <v>26</v>
      </c>
      <c r="G271" s="2">
        <v>0.15</v>
      </c>
      <c r="H271" s="3">
        <f t="shared" si="56"/>
        <v>29.9</v>
      </c>
      <c r="I271">
        <v>240</v>
      </c>
      <c r="J271" s="4">
        <f t="shared" si="57"/>
        <v>1.9933333333333332</v>
      </c>
      <c r="K271" s="1">
        <f t="shared" si="55"/>
        <v>2</v>
      </c>
      <c r="L271" t="s">
        <v>81</v>
      </c>
      <c r="M271" s="3">
        <v>2</v>
      </c>
      <c r="N271" s="11"/>
    </row>
    <row r="272" spans="2:14" x14ac:dyDescent="0.25">
      <c r="B272" t="s">
        <v>242</v>
      </c>
      <c r="C272" t="s">
        <v>118</v>
      </c>
      <c r="D272" t="s">
        <v>118</v>
      </c>
      <c r="E272" t="s">
        <v>334</v>
      </c>
      <c r="F272" s="3">
        <v>80</v>
      </c>
      <c r="G272" s="2">
        <v>0.15</v>
      </c>
      <c r="H272" s="3">
        <f t="shared" si="56"/>
        <v>92</v>
      </c>
      <c r="I272">
        <v>240</v>
      </c>
      <c r="J272" s="4">
        <f t="shared" si="57"/>
        <v>6.1333333333333337</v>
      </c>
      <c r="K272" s="1">
        <f t="shared" si="55"/>
        <v>6</v>
      </c>
      <c r="L272" t="s">
        <v>81</v>
      </c>
      <c r="M272" s="3">
        <v>6</v>
      </c>
      <c r="N272" s="11"/>
    </row>
    <row r="273" spans="2:14" x14ac:dyDescent="0.25">
      <c r="B273" t="s">
        <v>242</v>
      </c>
      <c r="C273" t="s">
        <v>118</v>
      </c>
      <c r="D273" t="s">
        <v>118</v>
      </c>
      <c r="E273" t="s">
        <v>134</v>
      </c>
      <c r="F273" s="3"/>
      <c r="G273" s="2">
        <v>0.15</v>
      </c>
      <c r="H273" s="3">
        <f t="shared" si="56"/>
        <v>0</v>
      </c>
      <c r="I273">
        <v>240</v>
      </c>
      <c r="J273" s="4">
        <f t="shared" si="57"/>
        <v>0</v>
      </c>
      <c r="K273" s="1" t="str">
        <f t="shared" si="55"/>
        <v>NA</v>
      </c>
      <c r="L273" t="s">
        <v>164</v>
      </c>
      <c r="M273" s="3" t="s">
        <v>157</v>
      </c>
      <c r="N273" s="11"/>
    </row>
    <row r="274" spans="2:14" x14ac:dyDescent="0.25">
      <c r="B274" t="s">
        <v>242</v>
      </c>
      <c r="C274" t="s">
        <v>118</v>
      </c>
      <c r="D274" t="s">
        <v>118</v>
      </c>
      <c r="E274" t="s">
        <v>335</v>
      </c>
      <c r="F274" s="3">
        <v>26</v>
      </c>
      <c r="G274" s="2">
        <v>0.15</v>
      </c>
      <c r="H274" s="3">
        <f t="shared" si="56"/>
        <v>29.9</v>
      </c>
      <c r="I274">
        <v>240</v>
      </c>
      <c r="J274" s="4">
        <f t="shared" si="57"/>
        <v>1.9933333333333332</v>
      </c>
      <c r="K274" s="1">
        <f t="shared" si="55"/>
        <v>2</v>
      </c>
      <c r="L274" t="s">
        <v>81</v>
      </c>
      <c r="M274" s="3">
        <v>2</v>
      </c>
      <c r="N274" s="11"/>
    </row>
    <row r="275" spans="2:14" x14ac:dyDescent="0.25">
      <c r="B275" t="s">
        <v>242</v>
      </c>
      <c r="C275" t="s">
        <v>118</v>
      </c>
      <c r="D275" t="s">
        <v>118</v>
      </c>
      <c r="E275" t="s">
        <v>336</v>
      </c>
      <c r="F275" s="3">
        <v>80</v>
      </c>
      <c r="G275" s="2">
        <v>0.15</v>
      </c>
      <c r="H275" s="3">
        <f t="shared" si="56"/>
        <v>92</v>
      </c>
      <c r="I275">
        <v>240</v>
      </c>
      <c r="J275" s="4">
        <f t="shared" si="57"/>
        <v>6.1333333333333337</v>
      </c>
      <c r="K275" s="1">
        <f t="shared" si="55"/>
        <v>6</v>
      </c>
      <c r="L275" t="s">
        <v>81</v>
      </c>
      <c r="M275" s="3">
        <v>6</v>
      </c>
      <c r="N275" s="11"/>
    </row>
    <row r="276" spans="2:14" x14ac:dyDescent="0.25">
      <c r="B276" t="s">
        <v>242</v>
      </c>
      <c r="C276" t="s">
        <v>118</v>
      </c>
      <c r="D276" t="s">
        <v>118</v>
      </c>
      <c r="E276" t="s">
        <v>134</v>
      </c>
      <c r="F276" s="3"/>
      <c r="G276" s="2">
        <v>0.15</v>
      </c>
      <c r="H276" s="3">
        <f t="shared" si="56"/>
        <v>0</v>
      </c>
      <c r="I276">
        <v>240</v>
      </c>
      <c r="J276" s="4">
        <f t="shared" si="57"/>
        <v>0</v>
      </c>
      <c r="K276" s="1" t="str">
        <f t="shared" si="55"/>
        <v>NA</v>
      </c>
      <c r="L276" t="s">
        <v>164</v>
      </c>
      <c r="M276" s="3" t="s">
        <v>157</v>
      </c>
      <c r="N276" s="11"/>
    </row>
    <row r="277" spans="2:14" x14ac:dyDescent="0.25">
      <c r="B277" t="s">
        <v>242</v>
      </c>
      <c r="C277" t="s">
        <v>118</v>
      </c>
      <c r="D277" t="s">
        <v>118</v>
      </c>
      <c r="E277" t="s">
        <v>337</v>
      </c>
      <c r="F277" s="3">
        <v>101</v>
      </c>
      <c r="G277" s="2">
        <v>0.15</v>
      </c>
      <c r="H277" s="3">
        <f t="shared" si="56"/>
        <v>116.15</v>
      </c>
      <c r="I277">
        <v>240</v>
      </c>
      <c r="J277" s="4">
        <f t="shared" si="57"/>
        <v>7.7433333333333341</v>
      </c>
      <c r="K277" s="1">
        <f t="shared" si="55"/>
        <v>8</v>
      </c>
      <c r="L277" t="s">
        <v>81</v>
      </c>
      <c r="M277" s="3">
        <v>8</v>
      </c>
      <c r="N277" s="11"/>
    </row>
    <row r="278" spans="2:14" x14ac:dyDescent="0.25">
      <c r="B278" t="s">
        <v>242</v>
      </c>
      <c r="C278" t="s">
        <v>118</v>
      </c>
      <c r="D278" t="s">
        <v>118</v>
      </c>
      <c r="E278" t="s">
        <v>144</v>
      </c>
      <c r="F278" s="3">
        <v>22.5</v>
      </c>
      <c r="G278" s="2">
        <v>0.15</v>
      </c>
      <c r="H278" s="3">
        <f t="shared" si="56"/>
        <v>25.875</v>
      </c>
      <c r="I278">
        <v>240</v>
      </c>
      <c r="J278" s="4">
        <f t="shared" si="57"/>
        <v>1.7250000000000001</v>
      </c>
      <c r="K278" s="1">
        <f t="shared" si="55"/>
        <v>2</v>
      </c>
      <c r="L278" t="s">
        <v>166</v>
      </c>
      <c r="M278" s="3">
        <v>2</v>
      </c>
      <c r="N278" s="11"/>
    </row>
    <row r="279" spans="2:14" x14ac:dyDescent="0.25">
      <c r="B279" t="s">
        <v>242</v>
      </c>
      <c r="C279" t="s">
        <v>118</v>
      </c>
      <c r="D279" t="s">
        <v>118</v>
      </c>
      <c r="E279" t="s">
        <v>131</v>
      </c>
      <c r="F279" s="3"/>
      <c r="G279" s="2">
        <v>0.15</v>
      </c>
      <c r="H279" s="3">
        <f t="shared" si="56"/>
        <v>0</v>
      </c>
      <c r="I279">
        <v>240</v>
      </c>
      <c r="J279" s="4">
        <f t="shared" si="57"/>
        <v>0</v>
      </c>
      <c r="K279" s="1" t="str">
        <f t="shared" si="55"/>
        <v>NA</v>
      </c>
      <c r="L279" t="s">
        <v>81</v>
      </c>
      <c r="M279" s="3" t="s">
        <v>157</v>
      </c>
      <c r="N279" s="11"/>
    </row>
    <row r="280" spans="2:14" x14ac:dyDescent="0.25">
      <c r="B280" t="s">
        <v>242</v>
      </c>
      <c r="C280" t="s">
        <v>118</v>
      </c>
      <c r="D280" t="s">
        <v>118</v>
      </c>
      <c r="E280" t="s">
        <v>145</v>
      </c>
      <c r="F280" s="3"/>
      <c r="G280" s="2">
        <v>0.15</v>
      </c>
      <c r="H280" s="3">
        <f t="shared" si="56"/>
        <v>0</v>
      </c>
      <c r="I280">
        <v>240</v>
      </c>
      <c r="J280" s="4">
        <f t="shared" si="57"/>
        <v>0</v>
      </c>
      <c r="K280" s="1" t="str">
        <f t="shared" si="55"/>
        <v>NA</v>
      </c>
      <c r="L280" t="s">
        <v>167</v>
      </c>
      <c r="M280" s="3">
        <v>1</v>
      </c>
      <c r="N280" s="11"/>
    </row>
    <row r="281" spans="2:14" x14ac:dyDescent="0.25">
      <c r="B281" t="s">
        <v>242</v>
      </c>
      <c r="C281" t="s">
        <v>118</v>
      </c>
      <c r="D281" t="s">
        <v>118</v>
      </c>
      <c r="E281" t="s">
        <v>146</v>
      </c>
      <c r="F281" s="3">
        <v>29.8</v>
      </c>
      <c r="G281" s="2">
        <v>0.15</v>
      </c>
      <c r="H281" s="3">
        <f t="shared" si="56"/>
        <v>34.270000000000003</v>
      </c>
      <c r="I281">
        <v>240</v>
      </c>
      <c r="J281" s="4">
        <f t="shared" si="57"/>
        <v>2.2846666666666668</v>
      </c>
      <c r="K281" s="1">
        <f t="shared" si="55"/>
        <v>2</v>
      </c>
      <c r="L281" t="s">
        <v>339</v>
      </c>
      <c r="M281" s="3">
        <v>2</v>
      </c>
      <c r="N281" s="11"/>
    </row>
    <row r="282" spans="2:14" x14ac:dyDescent="0.25">
      <c r="B282" t="s">
        <v>242</v>
      </c>
      <c r="C282" t="s">
        <v>118</v>
      </c>
      <c r="D282" t="s">
        <v>118</v>
      </c>
      <c r="E282" t="s">
        <v>147</v>
      </c>
      <c r="F282" s="3">
        <v>9.7200000000000006</v>
      </c>
      <c r="G282" s="2">
        <v>0.15</v>
      </c>
      <c r="H282" s="3">
        <f t="shared" si="56"/>
        <v>11.178000000000001</v>
      </c>
      <c r="I282">
        <v>240</v>
      </c>
      <c r="J282" s="4">
        <f t="shared" si="57"/>
        <v>0.74520000000000008</v>
      </c>
      <c r="K282" s="1">
        <f t="shared" si="55"/>
        <v>1</v>
      </c>
      <c r="L282" t="s">
        <v>81</v>
      </c>
      <c r="M282" s="3">
        <v>1</v>
      </c>
      <c r="N282" s="11"/>
    </row>
    <row r="283" spans="2:14" x14ac:dyDescent="0.25">
      <c r="B283" t="s">
        <v>242</v>
      </c>
      <c r="C283" t="s">
        <v>118</v>
      </c>
      <c r="D283" t="s">
        <v>118</v>
      </c>
      <c r="E283" t="s">
        <v>149</v>
      </c>
      <c r="F283" s="3">
        <v>14.040000000000001</v>
      </c>
      <c r="G283" s="2">
        <v>0.15</v>
      </c>
      <c r="H283" s="3">
        <f t="shared" si="56"/>
        <v>16.146000000000001</v>
      </c>
      <c r="I283">
        <v>240</v>
      </c>
      <c r="J283" s="4">
        <f t="shared" si="57"/>
        <v>1.0764</v>
      </c>
      <c r="K283" s="1">
        <f t="shared" si="55"/>
        <v>1</v>
      </c>
      <c r="L283" t="s">
        <v>81</v>
      </c>
      <c r="M283" s="3">
        <v>1</v>
      </c>
      <c r="N283" s="11"/>
    </row>
    <row r="284" spans="2:14" x14ac:dyDescent="0.25">
      <c r="B284" t="s">
        <v>242</v>
      </c>
      <c r="C284" t="s">
        <v>118</v>
      </c>
      <c r="D284" t="s">
        <v>118</v>
      </c>
      <c r="E284" t="s">
        <v>151</v>
      </c>
      <c r="F284" s="3">
        <v>45.8</v>
      </c>
      <c r="G284" s="2">
        <v>0.15</v>
      </c>
      <c r="H284" s="3">
        <f t="shared" si="56"/>
        <v>52.669999999999995</v>
      </c>
      <c r="I284">
        <v>240</v>
      </c>
      <c r="J284" s="4">
        <f t="shared" si="57"/>
        <v>3.511333333333333</v>
      </c>
      <c r="K284" s="1">
        <f t="shared" si="55"/>
        <v>4</v>
      </c>
      <c r="L284" t="s">
        <v>81</v>
      </c>
      <c r="M284" s="3">
        <v>4</v>
      </c>
      <c r="N284" s="11"/>
    </row>
    <row r="285" spans="2:14" x14ac:dyDescent="0.25">
      <c r="B285" t="s">
        <v>242</v>
      </c>
      <c r="C285" t="s">
        <v>118</v>
      </c>
      <c r="D285" t="s">
        <v>118</v>
      </c>
      <c r="E285" t="s">
        <v>152</v>
      </c>
      <c r="G285" s="2">
        <v>0.15</v>
      </c>
      <c r="H285" s="3">
        <f t="shared" si="56"/>
        <v>0</v>
      </c>
      <c r="I285">
        <v>240</v>
      </c>
      <c r="J285" s="4">
        <f t="shared" si="57"/>
        <v>0</v>
      </c>
      <c r="K285" s="1" t="str">
        <f t="shared" si="55"/>
        <v>NA</v>
      </c>
      <c r="L285" t="s">
        <v>170</v>
      </c>
      <c r="M285" s="3">
        <v>1</v>
      </c>
      <c r="N285" s="11"/>
    </row>
    <row r="286" spans="2:14" x14ac:dyDescent="0.25">
      <c r="B286" t="s">
        <v>242</v>
      </c>
      <c r="C286" t="s">
        <v>118</v>
      </c>
      <c r="D286" t="s">
        <v>118</v>
      </c>
      <c r="E286" t="s">
        <v>338</v>
      </c>
      <c r="G286" s="2">
        <v>0.15</v>
      </c>
      <c r="H286" s="3">
        <f t="shared" si="56"/>
        <v>0</v>
      </c>
      <c r="I286">
        <v>240</v>
      </c>
      <c r="J286" s="4">
        <f t="shared" si="57"/>
        <v>0</v>
      </c>
      <c r="K286" s="1" t="str">
        <f t="shared" si="55"/>
        <v>NA</v>
      </c>
      <c r="L286" t="s">
        <v>81</v>
      </c>
      <c r="M286" s="3" t="s">
        <v>157</v>
      </c>
      <c r="N286" s="11"/>
    </row>
    <row r="287" spans="2:14" x14ac:dyDescent="0.25">
      <c r="B287" t="s">
        <v>242</v>
      </c>
      <c r="C287" t="s">
        <v>118</v>
      </c>
      <c r="D287" t="s">
        <v>118</v>
      </c>
      <c r="E287" t="s">
        <v>153</v>
      </c>
      <c r="G287" s="2">
        <v>0.15</v>
      </c>
      <c r="H287" s="3">
        <f t="shared" si="56"/>
        <v>0</v>
      </c>
      <c r="I287">
        <v>240</v>
      </c>
      <c r="J287" s="4">
        <f t="shared" si="57"/>
        <v>0</v>
      </c>
      <c r="K287" s="1" t="str">
        <f t="shared" si="55"/>
        <v>NA</v>
      </c>
      <c r="L287" t="s">
        <v>171</v>
      </c>
      <c r="M287" s="3">
        <v>1</v>
      </c>
      <c r="N287" s="11"/>
    </row>
    <row r="288" spans="2:14" x14ac:dyDescent="0.25">
      <c r="B288" t="s">
        <v>242</v>
      </c>
      <c r="C288" t="s">
        <v>118</v>
      </c>
      <c r="D288" t="s">
        <v>118</v>
      </c>
      <c r="E288" t="s">
        <v>154</v>
      </c>
      <c r="F288" s="3">
        <v>14.202000000000002</v>
      </c>
      <c r="G288" s="2">
        <v>0.15</v>
      </c>
      <c r="H288" s="3">
        <f t="shared" si="56"/>
        <v>16.332300000000004</v>
      </c>
      <c r="I288">
        <v>240</v>
      </c>
      <c r="J288" s="4">
        <f t="shared" si="57"/>
        <v>1.0888200000000003</v>
      </c>
      <c r="K288" s="1">
        <f t="shared" si="55"/>
        <v>1</v>
      </c>
      <c r="L288" t="s">
        <v>81</v>
      </c>
      <c r="M288" s="3">
        <v>1</v>
      </c>
      <c r="N288" s="11"/>
    </row>
    <row r="289" spans="2:14" x14ac:dyDescent="0.25">
      <c r="B289" t="s">
        <v>242</v>
      </c>
      <c r="C289" t="s">
        <v>118</v>
      </c>
      <c r="D289" t="s">
        <v>118</v>
      </c>
      <c r="E289" t="s">
        <v>155</v>
      </c>
      <c r="F289" s="3">
        <v>15.7</v>
      </c>
      <c r="G289" s="2">
        <v>0.15</v>
      </c>
      <c r="H289" s="3">
        <f t="shared" si="56"/>
        <v>18.055</v>
      </c>
      <c r="I289">
        <v>240</v>
      </c>
      <c r="J289" s="4">
        <f t="shared" si="57"/>
        <v>1.2036666666666667</v>
      </c>
      <c r="K289" s="1">
        <f t="shared" si="55"/>
        <v>1</v>
      </c>
      <c r="L289" t="s">
        <v>81</v>
      </c>
      <c r="M289" s="3">
        <v>1</v>
      </c>
      <c r="N289" s="11"/>
    </row>
    <row r="290" spans="2:14" x14ac:dyDescent="0.25">
      <c r="B290" t="s">
        <v>242</v>
      </c>
      <c r="C290" t="s">
        <v>118</v>
      </c>
      <c r="D290" t="s">
        <v>118</v>
      </c>
      <c r="E290" t="s">
        <v>156</v>
      </c>
      <c r="F290" s="3">
        <v>28.5</v>
      </c>
      <c r="G290" s="2">
        <v>0.15</v>
      </c>
      <c r="H290" s="3">
        <f t="shared" si="56"/>
        <v>32.774999999999999</v>
      </c>
      <c r="I290">
        <v>240</v>
      </c>
      <c r="J290" s="4">
        <f t="shared" si="57"/>
        <v>2.1850000000000001</v>
      </c>
      <c r="K290" s="1">
        <f t="shared" si="55"/>
        <v>2</v>
      </c>
      <c r="L290" t="s">
        <v>81</v>
      </c>
      <c r="M290" s="3">
        <v>2</v>
      </c>
      <c r="N290" s="11"/>
    </row>
    <row r="291" spans="2:14" x14ac:dyDescent="0.25">
      <c r="B291" t="s">
        <v>242</v>
      </c>
      <c r="C291" t="s">
        <v>172</v>
      </c>
      <c r="D291" t="s">
        <v>340</v>
      </c>
      <c r="E291" t="s">
        <v>341</v>
      </c>
      <c r="F291" s="3">
        <v>16</v>
      </c>
      <c r="G291" s="2">
        <v>0.15</v>
      </c>
      <c r="H291" s="3">
        <f t="shared" ref="H291:H293" si="58">+F291+(F291*G291)</f>
        <v>18.399999999999999</v>
      </c>
      <c r="I291">
        <v>240</v>
      </c>
      <c r="J291" s="4">
        <f t="shared" ref="J291:J293" si="59">+H291/(3600/I291)</f>
        <v>1.2266666666666666</v>
      </c>
      <c r="K291" s="1">
        <f t="shared" si="55"/>
        <v>1</v>
      </c>
      <c r="L291" t="s">
        <v>176</v>
      </c>
      <c r="M291" s="3">
        <v>1</v>
      </c>
      <c r="N291" s="11"/>
    </row>
    <row r="292" spans="2:14" x14ac:dyDescent="0.25">
      <c r="B292" t="s">
        <v>242</v>
      </c>
      <c r="C292" t="s">
        <v>172</v>
      </c>
      <c r="D292" t="s">
        <v>340</v>
      </c>
      <c r="E292" t="s">
        <v>341</v>
      </c>
      <c r="F292" s="3">
        <v>16</v>
      </c>
      <c r="G292" s="2">
        <v>0.15</v>
      </c>
      <c r="H292" s="3">
        <f t="shared" si="58"/>
        <v>18.399999999999999</v>
      </c>
      <c r="I292">
        <v>240</v>
      </c>
      <c r="J292" s="4">
        <f t="shared" si="59"/>
        <v>1.2266666666666666</v>
      </c>
      <c r="K292" s="1">
        <f t="shared" si="55"/>
        <v>1</v>
      </c>
      <c r="L292" t="s">
        <v>177</v>
      </c>
      <c r="M292" s="3">
        <v>1</v>
      </c>
      <c r="N292" s="11"/>
    </row>
    <row r="293" spans="2:14" x14ac:dyDescent="0.25">
      <c r="B293" t="s">
        <v>242</v>
      </c>
      <c r="C293" t="s">
        <v>172</v>
      </c>
      <c r="D293" t="s">
        <v>340</v>
      </c>
      <c r="E293" t="s">
        <v>175</v>
      </c>
      <c r="F293" s="3">
        <v>14</v>
      </c>
      <c r="G293" s="2">
        <v>0.15</v>
      </c>
      <c r="H293" s="3">
        <f t="shared" si="58"/>
        <v>16.100000000000001</v>
      </c>
      <c r="I293">
        <v>240</v>
      </c>
      <c r="J293" s="4">
        <f t="shared" si="59"/>
        <v>1.0733333333333335</v>
      </c>
      <c r="K293" s="1">
        <f t="shared" si="55"/>
        <v>1</v>
      </c>
      <c r="L293" t="s">
        <v>178</v>
      </c>
      <c r="M293" s="3">
        <v>1</v>
      </c>
      <c r="N293" s="11"/>
    </row>
    <row r="294" spans="2:14" x14ac:dyDescent="0.25">
      <c r="B294" t="s">
        <v>242</v>
      </c>
      <c r="C294" t="s">
        <v>172</v>
      </c>
      <c r="D294" t="s">
        <v>343</v>
      </c>
      <c r="E294" t="s">
        <v>179</v>
      </c>
      <c r="F294" s="3">
        <v>4</v>
      </c>
      <c r="G294" s="2">
        <v>0.15</v>
      </c>
      <c r="H294" s="3">
        <f t="shared" ref="H294:H302" si="60">+F294+(F294*G294)</f>
        <v>4.5999999999999996</v>
      </c>
      <c r="I294">
        <v>240</v>
      </c>
      <c r="J294" s="4">
        <f t="shared" ref="J294:J302" si="61">+H294/(3600/I294)</f>
        <v>0.30666666666666664</v>
      </c>
      <c r="K294" s="1">
        <f t="shared" si="55"/>
        <v>1</v>
      </c>
      <c r="L294" t="s">
        <v>188</v>
      </c>
      <c r="M294" s="3">
        <v>1</v>
      </c>
      <c r="N294" s="11"/>
    </row>
    <row r="295" spans="2:14" x14ac:dyDescent="0.25">
      <c r="B295" t="s">
        <v>242</v>
      </c>
      <c r="C295" t="s">
        <v>172</v>
      </c>
      <c r="D295" t="s">
        <v>343</v>
      </c>
      <c r="E295" t="s">
        <v>180</v>
      </c>
      <c r="F295" s="3">
        <v>4</v>
      </c>
      <c r="G295" s="2">
        <v>0.15</v>
      </c>
      <c r="H295" s="3">
        <f t="shared" si="60"/>
        <v>4.5999999999999996</v>
      </c>
      <c r="I295">
        <v>240</v>
      </c>
      <c r="J295" s="4">
        <f t="shared" si="61"/>
        <v>0.30666666666666664</v>
      </c>
      <c r="K295" s="1">
        <f t="shared" si="55"/>
        <v>1</v>
      </c>
      <c r="M295" s="3"/>
      <c r="N295" s="11"/>
    </row>
    <row r="296" spans="2:14" x14ac:dyDescent="0.25">
      <c r="B296" t="s">
        <v>242</v>
      </c>
      <c r="C296" t="s">
        <v>172</v>
      </c>
      <c r="D296" t="s">
        <v>343</v>
      </c>
      <c r="E296" t="s">
        <v>181</v>
      </c>
      <c r="F296" s="3">
        <v>4</v>
      </c>
      <c r="G296" s="2">
        <v>0.15</v>
      </c>
      <c r="H296" s="3">
        <f t="shared" si="60"/>
        <v>4.5999999999999996</v>
      </c>
      <c r="I296">
        <v>240</v>
      </c>
      <c r="J296" s="4">
        <f t="shared" si="61"/>
        <v>0.30666666666666664</v>
      </c>
      <c r="K296" s="1">
        <f t="shared" si="55"/>
        <v>1</v>
      </c>
      <c r="M296" s="3"/>
      <c r="N296" s="11"/>
    </row>
    <row r="297" spans="2:14" x14ac:dyDescent="0.25">
      <c r="B297" t="s">
        <v>242</v>
      </c>
      <c r="C297" t="s">
        <v>172</v>
      </c>
      <c r="D297" t="s">
        <v>343</v>
      </c>
      <c r="E297" t="s">
        <v>182</v>
      </c>
      <c r="F297" s="3"/>
      <c r="G297" s="2">
        <v>0.15</v>
      </c>
      <c r="H297" s="3">
        <f t="shared" si="60"/>
        <v>0</v>
      </c>
      <c r="I297">
        <v>240</v>
      </c>
      <c r="J297" s="4">
        <f t="shared" si="61"/>
        <v>0</v>
      </c>
      <c r="K297" s="1" t="str">
        <f t="shared" si="55"/>
        <v>NA</v>
      </c>
      <c r="L297" t="s">
        <v>182</v>
      </c>
      <c r="M297" s="3">
        <v>1</v>
      </c>
      <c r="N297" s="11"/>
    </row>
    <row r="298" spans="2:14" x14ac:dyDescent="0.25">
      <c r="B298" t="s">
        <v>242</v>
      </c>
      <c r="C298" t="s">
        <v>172</v>
      </c>
      <c r="D298" t="s">
        <v>343</v>
      </c>
      <c r="E298" t="s">
        <v>183</v>
      </c>
      <c r="F298" s="3"/>
      <c r="G298" s="2">
        <v>0.15</v>
      </c>
      <c r="H298" s="3">
        <f t="shared" si="60"/>
        <v>0</v>
      </c>
      <c r="I298">
        <v>240</v>
      </c>
      <c r="J298" s="4">
        <f t="shared" si="61"/>
        <v>0</v>
      </c>
      <c r="K298" s="1" t="str">
        <f t="shared" si="55"/>
        <v>NA</v>
      </c>
      <c r="L298" t="s">
        <v>183</v>
      </c>
      <c r="M298" s="3">
        <v>1</v>
      </c>
      <c r="N298" s="11"/>
    </row>
    <row r="299" spans="2:14" x14ac:dyDescent="0.25">
      <c r="B299" t="s">
        <v>242</v>
      </c>
      <c r="C299" t="s">
        <v>172</v>
      </c>
      <c r="D299" t="s">
        <v>343</v>
      </c>
      <c r="E299" t="s">
        <v>184</v>
      </c>
      <c r="F299" s="3">
        <v>12</v>
      </c>
      <c r="G299" s="2">
        <v>0.15</v>
      </c>
      <c r="H299" s="3">
        <f t="shared" si="60"/>
        <v>13.8</v>
      </c>
      <c r="I299">
        <v>240</v>
      </c>
      <c r="J299" s="4">
        <f t="shared" si="61"/>
        <v>0.92</v>
      </c>
      <c r="K299" s="1">
        <f t="shared" si="55"/>
        <v>1</v>
      </c>
      <c r="L299" t="s">
        <v>81</v>
      </c>
      <c r="M299" s="3">
        <v>0</v>
      </c>
      <c r="N299" s="11"/>
    </row>
    <row r="300" spans="2:14" x14ac:dyDescent="0.25">
      <c r="B300" t="s">
        <v>242</v>
      </c>
      <c r="C300" t="s">
        <v>172</v>
      </c>
      <c r="D300" t="s">
        <v>343</v>
      </c>
      <c r="E300" t="s">
        <v>183</v>
      </c>
      <c r="F300" s="3"/>
      <c r="G300" s="2">
        <v>0.15</v>
      </c>
      <c r="H300" s="3">
        <f t="shared" si="60"/>
        <v>0</v>
      </c>
      <c r="I300">
        <v>240</v>
      </c>
      <c r="J300" s="4">
        <f t="shared" si="61"/>
        <v>0</v>
      </c>
      <c r="K300" s="1" t="str">
        <f t="shared" si="55"/>
        <v>NA</v>
      </c>
      <c r="L300" t="s">
        <v>183</v>
      </c>
      <c r="M300" s="3">
        <v>1</v>
      </c>
      <c r="N300" s="11"/>
    </row>
    <row r="301" spans="2:14" x14ac:dyDescent="0.25">
      <c r="B301" t="s">
        <v>242</v>
      </c>
      <c r="C301" t="s">
        <v>172</v>
      </c>
      <c r="D301" t="s">
        <v>343</v>
      </c>
      <c r="E301" t="s">
        <v>342</v>
      </c>
      <c r="F301" s="3"/>
      <c r="G301" s="2">
        <v>0.15</v>
      </c>
      <c r="H301" s="3">
        <f t="shared" si="60"/>
        <v>0</v>
      </c>
      <c r="I301">
        <v>240</v>
      </c>
      <c r="J301" s="4">
        <f t="shared" si="61"/>
        <v>0</v>
      </c>
      <c r="K301" s="1" t="str">
        <f t="shared" si="55"/>
        <v>NA</v>
      </c>
      <c r="L301" t="s">
        <v>81</v>
      </c>
      <c r="M301" s="3">
        <v>0</v>
      </c>
      <c r="N301" s="11"/>
    </row>
    <row r="302" spans="2:14" x14ac:dyDescent="0.25">
      <c r="B302" t="s">
        <v>242</v>
      </c>
      <c r="C302" t="s">
        <v>172</v>
      </c>
      <c r="D302" t="s">
        <v>343</v>
      </c>
      <c r="E302" t="s">
        <v>186</v>
      </c>
      <c r="F302" s="3"/>
      <c r="G302" s="2">
        <v>0.15</v>
      </c>
      <c r="H302" s="3">
        <f t="shared" si="60"/>
        <v>0</v>
      </c>
      <c r="I302">
        <v>240</v>
      </c>
      <c r="J302" s="4">
        <f t="shared" si="61"/>
        <v>0</v>
      </c>
      <c r="K302" s="1" t="str">
        <f t="shared" si="55"/>
        <v>NA</v>
      </c>
      <c r="L302" t="s">
        <v>170</v>
      </c>
      <c r="M302" s="3">
        <v>1</v>
      </c>
      <c r="N302" s="11"/>
    </row>
    <row r="303" spans="2:14" x14ac:dyDescent="0.25">
      <c r="B303" t="s">
        <v>242</v>
      </c>
      <c r="C303" t="s">
        <v>172</v>
      </c>
      <c r="D303" t="s">
        <v>344</v>
      </c>
      <c r="E303" t="s">
        <v>189</v>
      </c>
      <c r="F303" s="3">
        <v>4</v>
      </c>
      <c r="G303" s="2">
        <v>0.15</v>
      </c>
      <c r="H303" s="3">
        <f t="shared" ref="H303:H313" si="62">+F303+(F303*G303)</f>
        <v>4.5999999999999996</v>
      </c>
      <c r="I303">
        <v>240</v>
      </c>
      <c r="J303" s="4">
        <f t="shared" ref="J303:J313" si="63">+H303/(3600/I303)</f>
        <v>0.30666666666666664</v>
      </c>
      <c r="K303" s="1">
        <f t="shared" si="55"/>
        <v>1</v>
      </c>
      <c r="L303" t="s">
        <v>199</v>
      </c>
      <c r="M303" s="3">
        <v>1</v>
      </c>
      <c r="N303" s="11"/>
    </row>
    <row r="304" spans="2:14" x14ac:dyDescent="0.25">
      <c r="B304" t="s">
        <v>242</v>
      </c>
      <c r="C304" t="s">
        <v>172</v>
      </c>
      <c r="D304" t="s">
        <v>344</v>
      </c>
      <c r="E304" t="s">
        <v>190</v>
      </c>
      <c r="F304" s="3">
        <v>4</v>
      </c>
      <c r="G304" s="2">
        <v>0.15</v>
      </c>
      <c r="H304" s="3">
        <f t="shared" si="62"/>
        <v>4.5999999999999996</v>
      </c>
      <c r="I304">
        <v>240</v>
      </c>
      <c r="J304" s="4">
        <f t="shared" si="63"/>
        <v>0.30666666666666664</v>
      </c>
      <c r="K304" s="1">
        <f t="shared" si="55"/>
        <v>1</v>
      </c>
      <c r="M304" s="3"/>
      <c r="N304" s="11"/>
    </row>
    <row r="305" spans="2:14" x14ac:dyDescent="0.25">
      <c r="B305" t="s">
        <v>242</v>
      </c>
      <c r="C305" t="s">
        <v>172</v>
      </c>
      <c r="D305" t="s">
        <v>344</v>
      </c>
      <c r="E305" t="s">
        <v>182</v>
      </c>
      <c r="F305" s="3"/>
      <c r="G305" s="2">
        <v>0.15</v>
      </c>
      <c r="H305" s="3">
        <f t="shared" si="62"/>
        <v>0</v>
      </c>
      <c r="I305">
        <v>240</v>
      </c>
      <c r="J305" s="4">
        <f t="shared" si="63"/>
        <v>0</v>
      </c>
      <c r="K305" s="1" t="str">
        <f t="shared" si="55"/>
        <v>NA</v>
      </c>
      <c r="L305" t="s">
        <v>182</v>
      </c>
      <c r="M305" s="3">
        <v>1</v>
      </c>
      <c r="N305" s="11"/>
    </row>
    <row r="306" spans="2:14" x14ac:dyDescent="0.25">
      <c r="B306" t="s">
        <v>242</v>
      </c>
      <c r="C306" t="s">
        <v>172</v>
      </c>
      <c r="D306" t="s">
        <v>344</v>
      </c>
      <c r="E306" t="s">
        <v>345</v>
      </c>
      <c r="F306" s="3">
        <v>30</v>
      </c>
      <c r="G306" s="2">
        <v>0.15</v>
      </c>
      <c r="H306" s="3">
        <f t="shared" si="62"/>
        <v>34.5</v>
      </c>
      <c r="I306">
        <v>240</v>
      </c>
      <c r="J306" s="4">
        <f t="shared" si="63"/>
        <v>2.2999999999999998</v>
      </c>
      <c r="K306" s="1">
        <f t="shared" si="55"/>
        <v>2</v>
      </c>
      <c r="L306" t="s">
        <v>81</v>
      </c>
      <c r="M306" s="3">
        <v>0</v>
      </c>
      <c r="N306" s="11"/>
    </row>
    <row r="307" spans="2:14" x14ac:dyDescent="0.25">
      <c r="B307" t="s">
        <v>242</v>
      </c>
      <c r="C307" t="s">
        <v>172</v>
      </c>
      <c r="D307" t="s">
        <v>344</v>
      </c>
      <c r="E307" t="s">
        <v>192</v>
      </c>
      <c r="F307" s="3"/>
      <c r="G307" s="2">
        <v>0.15</v>
      </c>
      <c r="H307" s="3">
        <f t="shared" si="62"/>
        <v>0</v>
      </c>
      <c r="I307">
        <v>240</v>
      </c>
      <c r="J307" s="4">
        <f t="shared" si="63"/>
        <v>0</v>
      </c>
      <c r="K307" s="1" t="str">
        <f t="shared" si="55"/>
        <v>NA</v>
      </c>
      <c r="L307" t="s">
        <v>183</v>
      </c>
      <c r="M307" s="3">
        <v>1</v>
      </c>
      <c r="N307" s="11"/>
    </row>
    <row r="308" spans="2:14" x14ac:dyDescent="0.25">
      <c r="B308" t="s">
        <v>242</v>
      </c>
      <c r="C308" t="s">
        <v>172</v>
      </c>
      <c r="D308" t="s">
        <v>344</v>
      </c>
      <c r="E308" t="s">
        <v>346</v>
      </c>
      <c r="F308" s="3">
        <v>30</v>
      </c>
      <c r="G308" s="2">
        <v>0.15</v>
      </c>
      <c r="H308" s="3">
        <f t="shared" si="62"/>
        <v>34.5</v>
      </c>
      <c r="I308">
        <v>240</v>
      </c>
      <c r="J308" s="4">
        <f t="shared" si="63"/>
        <v>2.2999999999999998</v>
      </c>
      <c r="K308" s="1">
        <f t="shared" si="55"/>
        <v>2</v>
      </c>
      <c r="L308" t="s">
        <v>81</v>
      </c>
      <c r="M308" s="3">
        <v>0</v>
      </c>
      <c r="N308" s="11"/>
    </row>
    <row r="309" spans="2:14" x14ac:dyDescent="0.25">
      <c r="B309" t="s">
        <v>242</v>
      </c>
      <c r="C309" t="s">
        <v>172</v>
      </c>
      <c r="D309" t="s">
        <v>344</v>
      </c>
      <c r="E309" t="s">
        <v>192</v>
      </c>
      <c r="F309" s="3"/>
      <c r="G309" s="2">
        <v>0.15</v>
      </c>
      <c r="H309" s="3">
        <f t="shared" si="62"/>
        <v>0</v>
      </c>
      <c r="I309">
        <v>240</v>
      </c>
      <c r="J309" s="4">
        <f t="shared" si="63"/>
        <v>0</v>
      </c>
      <c r="K309" s="1" t="str">
        <f t="shared" si="55"/>
        <v>NA</v>
      </c>
      <c r="L309" t="s">
        <v>183</v>
      </c>
      <c r="M309" s="3">
        <v>1</v>
      </c>
      <c r="N309" s="11"/>
    </row>
    <row r="310" spans="2:14" x14ac:dyDescent="0.25">
      <c r="B310" t="s">
        <v>242</v>
      </c>
      <c r="C310" t="s">
        <v>172</v>
      </c>
      <c r="D310" t="s">
        <v>344</v>
      </c>
      <c r="E310" t="s">
        <v>194</v>
      </c>
      <c r="F310" s="3"/>
      <c r="G310" s="2">
        <v>0.15</v>
      </c>
      <c r="H310" s="3">
        <f t="shared" si="62"/>
        <v>0</v>
      </c>
      <c r="I310">
        <v>240</v>
      </c>
      <c r="J310" s="4">
        <f t="shared" si="63"/>
        <v>0</v>
      </c>
      <c r="K310" s="1" t="str">
        <f t="shared" si="55"/>
        <v>NA</v>
      </c>
      <c r="L310" t="s">
        <v>81</v>
      </c>
      <c r="M310" s="3">
        <v>0</v>
      </c>
      <c r="N310" s="11"/>
    </row>
    <row r="311" spans="2:14" x14ac:dyDescent="0.25">
      <c r="B311" t="s">
        <v>242</v>
      </c>
      <c r="C311" t="s">
        <v>172</v>
      </c>
      <c r="D311" t="s">
        <v>344</v>
      </c>
      <c r="E311" t="s">
        <v>195</v>
      </c>
      <c r="F311" s="3"/>
      <c r="G311" s="2">
        <v>0.15</v>
      </c>
      <c r="H311" s="3">
        <f t="shared" si="62"/>
        <v>0</v>
      </c>
      <c r="I311">
        <v>240</v>
      </c>
      <c r="J311" s="4">
        <f t="shared" si="63"/>
        <v>0</v>
      </c>
      <c r="K311" s="1" t="str">
        <f t="shared" si="55"/>
        <v>NA</v>
      </c>
      <c r="L311" t="s">
        <v>200</v>
      </c>
      <c r="M311" s="3">
        <v>1</v>
      </c>
      <c r="N311" s="11"/>
    </row>
    <row r="312" spans="2:14" x14ac:dyDescent="0.25">
      <c r="B312" t="s">
        <v>242</v>
      </c>
      <c r="C312" t="s">
        <v>172</v>
      </c>
      <c r="D312" t="s">
        <v>344</v>
      </c>
      <c r="E312" t="s">
        <v>196</v>
      </c>
      <c r="F312" s="3"/>
      <c r="G312" s="2">
        <v>0.15</v>
      </c>
      <c r="H312" s="3">
        <f t="shared" si="62"/>
        <v>0</v>
      </c>
      <c r="I312">
        <v>240</v>
      </c>
      <c r="J312" s="4">
        <f t="shared" si="63"/>
        <v>0</v>
      </c>
      <c r="K312" s="1" t="str">
        <f t="shared" si="55"/>
        <v>NA</v>
      </c>
      <c r="L312" t="s">
        <v>201</v>
      </c>
      <c r="M312" s="3">
        <v>1</v>
      </c>
      <c r="N312" s="11"/>
    </row>
    <row r="313" spans="2:14" x14ac:dyDescent="0.25">
      <c r="B313" t="s">
        <v>242</v>
      </c>
      <c r="C313" t="s">
        <v>172</v>
      </c>
      <c r="D313" t="s">
        <v>344</v>
      </c>
      <c r="E313" t="s">
        <v>197</v>
      </c>
      <c r="F313" s="3">
        <v>7.68</v>
      </c>
      <c r="G313" s="2">
        <v>0.15</v>
      </c>
      <c r="H313" s="3">
        <f t="shared" si="62"/>
        <v>8.831999999999999</v>
      </c>
      <c r="I313">
        <v>240</v>
      </c>
      <c r="J313" s="4">
        <f t="shared" si="63"/>
        <v>0.58879999999999988</v>
      </c>
      <c r="K313" s="1">
        <f t="shared" si="55"/>
        <v>1</v>
      </c>
      <c r="L313" t="s">
        <v>81</v>
      </c>
      <c r="M313" s="3">
        <v>0</v>
      </c>
      <c r="N313" s="11"/>
    </row>
    <row r="314" spans="2:14" x14ac:dyDescent="0.25">
      <c r="B314" t="s">
        <v>242</v>
      </c>
      <c r="C314" t="s">
        <v>172</v>
      </c>
      <c r="D314" t="s">
        <v>213</v>
      </c>
      <c r="E314" t="s">
        <v>202</v>
      </c>
      <c r="F314" s="3">
        <v>4</v>
      </c>
      <c r="G314" s="2">
        <v>0.15</v>
      </c>
      <c r="H314" s="3">
        <f t="shared" ref="H314:H329" si="64">+F314+(F314*G314)</f>
        <v>4.5999999999999996</v>
      </c>
      <c r="I314">
        <v>240</v>
      </c>
      <c r="J314" s="4">
        <f t="shared" ref="J314:J329" si="65">+H314/(3600/I314)</f>
        <v>0.30666666666666664</v>
      </c>
      <c r="K314" s="1">
        <f t="shared" si="55"/>
        <v>1</v>
      </c>
      <c r="L314" t="s">
        <v>81</v>
      </c>
      <c r="M314" s="3">
        <v>0</v>
      </c>
      <c r="N314" s="11"/>
    </row>
    <row r="315" spans="2:14" x14ac:dyDescent="0.25">
      <c r="B315" t="s">
        <v>242</v>
      </c>
      <c r="C315" t="s">
        <v>172</v>
      </c>
      <c r="D315" t="s">
        <v>213</v>
      </c>
      <c r="E315" t="s">
        <v>203</v>
      </c>
      <c r="F315" s="3"/>
      <c r="G315" s="2">
        <v>0.15</v>
      </c>
      <c r="H315" s="3">
        <f t="shared" si="64"/>
        <v>0</v>
      </c>
      <c r="I315">
        <v>240</v>
      </c>
      <c r="J315" s="4">
        <f t="shared" si="65"/>
        <v>0</v>
      </c>
      <c r="K315" s="1" t="str">
        <f t="shared" ref="K315:K378" si="66">IF(SUM(J315:J315)=0,"NA",IF(SUM(J315:J315)&lt;1,1,IF(MOD(SUM(J315:J315),1)&gt;=0.5,ROUNDUP(SUM(J315:J315),0),ROUNDDOWN(SUM(J315:J315),0))))</f>
        <v>NA</v>
      </c>
      <c r="L315" t="s">
        <v>203</v>
      </c>
      <c r="M315" s="3">
        <v>1</v>
      </c>
      <c r="N315" s="11"/>
    </row>
    <row r="316" spans="2:14" x14ac:dyDescent="0.25">
      <c r="B316" t="s">
        <v>242</v>
      </c>
      <c r="C316" t="s">
        <v>172</v>
      </c>
      <c r="D316" t="s">
        <v>213</v>
      </c>
      <c r="E316" t="s">
        <v>204</v>
      </c>
      <c r="F316" s="3">
        <v>72</v>
      </c>
      <c r="G316" s="2">
        <v>0.15</v>
      </c>
      <c r="H316" s="3">
        <f t="shared" si="64"/>
        <v>82.8</v>
      </c>
      <c r="I316">
        <v>240</v>
      </c>
      <c r="J316" s="4">
        <f t="shared" si="65"/>
        <v>5.52</v>
      </c>
      <c r="K316" s="1">
        <f t="shared" si="66"/>
        <v>6</v>
      </c>
      <c r="L316" t="s">
        <v>81</v>
      </c>
      <c r="M316" s="3">
        <v>0</v>
      </c>
      <c r="N316" s="11"/>
    </row>
    <row r="317" spans="2:14" x14ac:dyDescent="0.25">
      <c r="B317" t="s">
        <v>242</v>
      </c>
      <c r="C317" t="s">
        <v>172</v>
      </c>
      <c r="D317" t="s">
        <v>213</v>
      </c>
      <c r="E317" t="s">
        <v>192</v>
      </c>
      <c r="F317" s="3"/>
      <c r="G317" s="2">
        <v>0.15</v>
      </c>
      <c r="H317" s="3">
        <f t="shared" si="64"/>
        <v>0</v>
      </c>
      <c r="I317">
        <v>240</v>
      </c>
      <c r="J317" s="4">
        <f t="shared" si="65"/>
        <v>0</v>
      </c>
      <c r="K317" s="1" t="str">
        <f t="shared" si="66"/>
        <v>NA</v>
      </c>
      <c r="L317" t="s">
        <v>183</v>
      </c>
      <c r="M317" s="3">
        <v>1</v>
      </c>
      <c r="N317" s="11"/>
    </row>
    <row r="318" spans="2:14" x14ac:dyDescent="0.25">
      <c r="B318" t="s">
        <v>242</v>
      </c>
      <c r="C318" t="s">
        <v>172</v>
      </c>
      <c r="D318" t="s">
        <v>213</v>
      </c>
      <c r="E318" t="s">
        <v>205</v>
      </c>
      <c r="F318" s="3">
        <v>20</v>
      </c>
      <c r="G318" s="2">
        <v>0.15</v>
      </c>
      <c r="H318" s="3">
        <f t="shared" si="64"/>
        <v>23</v>
      </c>
      <c r="I318">
        <v>240</v>
      </c>
      <c r="J318" s="4">
        <f t="shared" si="65"/>
        <v>1.5333333333333334</v>
      </c>
      <c r="K318" s="1">
        <f t="shared" si="66"/>
        <v>2</v>
      </c>
      <c r="L318" t="s">
        <v>348</v>
      </c>
      <c r="M318" s="3">
        <v>0</v>
      </c>
      <c r="N318" s="11"/>
    </row>
    <row r="319" spans="2:14" x14ac:dyDescent="0.25">
      <c r="B319" t="s">
        <v>242</v>
      </c>
      <c r="C319" t="s">
        <v>172</v>
      </c>
      <c r="D319" t="s">
        <v>213</v>
      </c>
      <c r="E319" t="s">
        <v>192</v>
      </c>
      <c r="F319" s="3"/>
      <c r="G319" s="2">
        <v>0.15</v>
      </c>
      <c r="H319" s="3">
        <f t="shared" si="64"/>
        <v>0</v>
      </c>
      <c r="I319">
        <v>240</v>
      </c>
      <c r="J319" s="4">
        <f t="shared" si="65"/>
        <v>0</v>
      </c>
      <c r="K319" s="1" t="str">
        <f t="shared" si="66"/>
        <v>NA</v>
      </c>
      <c r="L319" t="s">
        <v>183</v>
      </c>
      <c r="M319" s="3">
        <v>1</v>
      </c>
      <c r="N319" s="11"/>
    </row>
    <row r="320" spans="2:14" x14ac:dyDescent="0.25">
      <c r="B320" t="s">
        <v>242</v>
      </c>
      <c r="C320" t="s">
        <v>172</v>
      </c>
      <c r="D320" t="s">
        <v>213</v>
      </c>
      <c r="E320" t="s">
        <v>206</v>
      </c>
      <c r="F320" s="3">
        <v>72</v>
      </c>
      <c r="G320" s="2">
        <v>0.15</v>
      </c>
      <c r="H320" s="3">
        <f t="shared" si="64"/>
        <v>82.8</v>
      </c>
      <c r="I320">
        <v>240</v>
      </c>
      <c r="J320" s="4">
        <f t="shared" si="65"/>
        <v>5.52</v>
      </c>
      <c r="K320" s="1">
        <f t="shared" si="66"/>
        <v>6</v>
      </c>
      <c r="L320" t="s">
        <v>81</v>
      </c>
      <c r="M320" s="3">
        <v>0</v>
      </c>
      <c r="N320" s="11"/>
    </row>
    <row r="321" spans="2:14" x14ac:dyDescent="0.25">
      <c r="B321" t="s">
        <v>242</v>
      </c>
      <c r="C321" t="s">
        <v>172</v>
      </c>
      <c r="D321" t="s">
        <v>213</v>
      </c>
      <c r="E321" t="s">
        <v>192</v>
      </c>
      <c r="F321" s="3"/>
      <c r="G321" s="2">
        <v>0.15</v>
      </c>
      <c r="H321" s="3">
        <f t="shared" si="64"/>
        <v>0</v>
      </c>
      <c r="I321">
        <v>240</v>
      </c>
      <c r="J321" s="4">
        <f t="shared" si="65"/>
        <v>0</v>
      </c>
      <c r="K321" s="1" t="str">
        <f t="shared" si="66"/>
        <v>NA</v>
      </c>
      <c r="L321" t="s">
        <v>183</v>
      </c>
      <c r="M321" s="3">
        <v>1</v>
      </c>
      <c r="N321" s="11"/>
    </row>
    <row r="322" spans="2:14" x14ac:dyDescent="0.25">
      <c r="B322" t="s">
        <v>242</v>
      </c>
      <c r="C322" t="s">
        <v>172</v>
      </c>
      <c r="D322" t="s">
        <v>213</v>
      </c>
      <c r="E322" t="s">
        <v>207</v>
      </c>
      <c r="F322" s="3">
        <v>20</v>
      </c>
      <c r="G322" s="2">
        <v>0.15</v>
      </c>
      <c r="H322" s="3">
        <f t="shared" si="64"/>
        <v>23</v>
      </c>
      <c r="I322">
        <v>240</v>
      </c>
      <c r="J322" s="4">
        <f t="shared" si="65"/>
        <v>1.5333333333333334</v>
      </c>
      <c r="K322" s="1">
        <f t="shared" si="66"/>
        <v>2</v>
      </c>
      <c r="L322" t="s">
        <v>348</v>
      </c>
      <c r="M322" s="3">
        <v>0</v>
      </c>
      <c r="N322" s="11"/>
    </row>
    <row r="323" spans="2:14" x14ac:dyDescent="0.25">
      <c r="B323" t="s">
        <v>242</v>
      </c>
      <c r="C323" t="s">
        <v>172</v>
      </c>
      <c r="D323" t="s">
        <v>213</v>
      </c>
      <c r="E323" t="s">
        <v>192</v>
      </c>
      <c r="F323" s="3"/>
      <c r="G323" s="2">
        <v>0.15</v>
      </c>
      <c r="H323" s="3">
        <f t="shared" si="64"/>
        <v>0</v>
      </c>
      <c r="I323">
        <v>240</v>
      </c>
      <c r="J323" s="4">
        <f t="shared" si="65"/>
        <v>0</v>
      </c>
      <c r="K323" s="1" t="str">
        <f t="shared" si="66"/>
        <v>NA</v>
      </c>
      <c r="L323" t="s">
        <v>183</v>
      </c>
      <c r="M323" s="3">
        <v>1</v>
      </c>
      <c r="N323" s="11"/>
    </row>
    <row r="324" spans="2:14" x14ac:dyDescent="0.25">
      <c r="B324" t="s">
        <v>242</v>
      </c>
      <c r="C324" t="s">
        <v>172</v>
      </c>
      <c r="D324" t="s">
        <v>213</v>
      </c>
      <c r="E324" t="s">
        <v>208</v>
      </c>
      <c r="F324" s="3">
        <v>56</v>
      </c>
      <c r="G324" s="2">
        <v>0.15</v>
      </c>
      <c r="H324" s="3">
        <f t="shared" si="64"/>
        <v>64.400000000000006</v>
      </c>
      <c r="I324">
        <v>240</v>
      </c>
      <c r="J324" s="4">
        <f t="shared" si="65"/>
        <v>4.2933333333333339</v>
      </c>
      <c r="K324" s="1">
        <f t="shared" si="66"/>
        <v>4</v>
      </c>
      <c r="L324" t="s">
        <v>215</v>
      </c>
      <c r="M324" s="3">
        <v>2</v>
      </c>
      <c r="N324" s="11"/>
    </row>
    <row r="325" spans="2:14" x14ac:dyDescent="0.25">
      <c r="B325" t="s">
        <v>242</v>
      </c>
      <c r="C325" t="s">
        <v>172</v>
      </c>
      <c r="D325" t="s">
        <v>213</v>
      </c>
      <c r="E325" t="s">
        <v>192</v>
      </c>
      <c r="F325" s="3"/>
      <c r="G325" s="2">
        <v>0.15</v>
      </c>
      <c r="H325" s="3">
        <f t="shared" si="64"/>
        <v>0</v>
      </c>
      <c r="I325">
        <v>240</v>
      </c>
      <c r="J325" s="4">
        <f t="shared" si="65"/>
        <v>0</v>
      </c>
      <c r="K325" s="1" t="str">
        <f t="shared" si="66"/>
        <v>NA</v>
      </c>
      <c r="L325" t="s">
        <v>183</v>
      </c>
      <c r="M325" s="3">
        <v>1</v>
      </c>
      <c r="N325" s="11"/>
    </row>
    <row r="326" spans="2:14" x14ac:dyDescent="0.25">
      <c r="B326" t="s">
        <v>242</v>
      </c>
      <c r="C326" t="s">
        <v>172</v>
      </c>
      <c r="D326" t="s">
        <v>213</v>
      </c>
      <c r="E326" t="s">
        <v>209</v>
      </c>
      <c r="F326" s="3">
        <v>105</v>
      </c>
      <c r="G326" s="2">
        <v>0.15</v>
      </c>
      <c r="H326" s="3">
        <f t="shared" si="64"/>
        <v>120.75</v>
      </c>
      <c r="I326">
        <v>240</v>
      </c>
      <c r="J326" s="4">
        <f t="shared" si="65"/>
        <v>8.0500000000000007</v>
      </c>
      <c r="K326" s="1">
        <f t="shared" si="66"/>
        <v>8</v>
      </c>
      <c r="L326" t="s">
        <v>81</v>
      </c>
      <c r="M326" s="3">
        <v>0</v>
      </c>
      <c r="N326" s="11"/>
    </row>
    <row r="327" spans="2:14" x14ac:dyDescent="0.25">
      <c r="B327" t="s">
        <v>242</v>
      </c>
      <c r="C327" t="s">
        <v>172</v>
      </c>
      <c r="D327" t="s">
        <v>213</v>
      </c>
      <c r="E327" t="s">
        <v>347</v>
      </c>
      <c r="F327" s="3">
        <v>22.5</v>
      </c>
      <c r="G327" s="2">
        <v>0.15</v>
      </c>
      <c r="H327" s="3">
        <f t="shared" si="64"/>
        <v>25.875</v>
      </c>
      <c r="I327">
        <v>240</v>
      </c>
      <c r="J327" s="4">
        <f t="shared" si="65"/>
        <v>1.7250000000000001</v>
      </c>
      <c r="K327" s="1">
        <f t="shared" si="66"/>
        <v>2</v>
      </c>
      <c r="L327" t="s">
        <v>347</v>
      </c>
      <c r="M327" s="3">
        <v>2</v>
      </c>
      <c r="N327" s="11"/>
    </row>
    <row r="328" spans="2:14" x14ac:dyDescent="0.25">
      <c r="B328" t="s">
        <v>242</v>
      </c>
      <c r="C328" t="s">
        <v>172</v>
      </c>
      <c r="D328" t="s">
        <v>213</v>
      </c>
      <c r="E328" t="s">
        <v>211</v>
      </c>
      <c r="F328" s="3"/>
      <c r="G328" s="2">
        <v>0.15</v>
      </c>
      <c r="H328" s="3">
        <f t="shared" si="64"/>
        <v>0</v>
      </c>
      <c r="I328">
        <v>240</v>
      </c>
      <c r="J328" s="4">
        <f t="shared" si="65"/>
        <v>0</v>
      </c>
      <c r="K328" s="1" t="str">
        <f t="shared" si="66"/>
        <v>NA</v>
      </c>
      <c r="L328" t="s">
        <v>200</v>
      </c>
      <c r="M328" s="3">
        <v>1</v>
      </c>
      <c r="N328" s="11"/>
    </row>
    <row r="329" spans="2:14" x14ac:dyDescent="0.25">
      <c r="B329" t="s">
        <v>242</v>
      </c>
      <c r="C329" t="s">
        <v>172</v>
      </c>
      <c r="D329" t="s">
        <v>213</v>
      </c>
      <c r="E329" t="s">
        <v>212</v>
      </c>
      <c r="F329" s="3"/>
      <c r="G329" s="2">
        <v>0.15</v>
      </c>
      <c r="H329" s="3">
        <f t="shared" si="64"/>
        <v>0</v>
      </c>
      <c r="I329">
        <v>240</v>
      </c>
      <c r="J329" s="4">
        <f t="shared" si="65"/>
        <v>0</v>
      </c>
      <c r="K329" s="1" t="str">
        <f t="shared" si="66"/>
        <v>NA</v>
      </c>
      <c r="L329" t="s">
        <v>81</v>
      </c>
      <c r="M329" s="3">
        <v>0</v>
      </c>
      <c r="N329" s="11"/>
    </row>
    <row r="330" spans="2:14" x14ac:dyDescent="0.25">
      <c r="B330" t="s">
        <v>242</v>
      </c>
      <c r="C330" t="s">
        <v>172</v>
      </c>
      <c r="D330" t="s">
        <v>222</v>
      </c>
      <c r="E330" t="s">
        <v>216</v>
      </c>
      <c r="F330" s="3">
        <v>13</v>
      </c>
      <c r="G330" s="2">
        <v>0.15</v>
      </c>
      <c r="H330" s="3">
        <f t="shared" ref="H330:H339" si="67">+F330+(F330*G330)</f>
        <v>14.95</v>
      </c>
      <c r="I330">
        <v>240</v>
      </c>
      <c r="J330" s="4">
        <f t="shared" ref="J330:J339" si="68">+H330/(3600/I330)</f>
        <v>0.99666666666666659</v>
      </c>
      <c r="K330" s="1">
        <f t="shared" si="66"/>
        <v>1</v>
      </c>
      <c r="L330" t="s">
        <v>178</v>
      </c>
      <c r="M330" s="3">
        <v>1</v>
      </c>
      <c r="N330" s="11"/>
    </row>
    <row r="331" spans="2:14" x14ac:dyDescent="0.25">
      <c r="B331" t="s">
        <v>242</v>
      </c>
      <c r="C331" t="s">
        <v>172</v>
      </c>
      <c r="D331" t="s">
        <v>222</v>
      </c>
      <c r="E331" t="s">
        <v>349</v>
      </c>
      <c r="F331" s="3">
        <v>13</v>
      </c>
      <c r="G331" s="2">
        <v>0.15</v>
      </c>
      <c r="H331" s="3">
        <f t="shared" si="67"/>
        <v>14.95</v>
      </c>
      <c r="I331">
        <v>240</v>
      </c>
      <c r="J331" s="4">
        <f t="shared" si="68"/>
        <v>0.99666666666666659</v>
      </c>
      <c r="K331" s="1">
        <f t="shared" si="66"/>
        <v>1</v>
      </c>
      <c r="L331" t="s">
        <v>178</v>
      </c>
      <c r="M331" s="3">
        <v>1</v>
      </c>
      <c r="N331" s="11"/>
    </row>
    <row r="332" spans="2:14" x14ac:dyDescent="0.25">
      <c r="B332" t="s">
        <v>242</v>
      </c>
      <c r="C332" t="s">
        <v>172</v>
      </c>
      <c r="D332" t="s">
        <v>222</v>
      </c>
      <c r="E332" t="s">
        <v>350</v>
      </c>
      <c r="F332" s="3"/>
      <c r="G332" s="2">
        <v>0.15</v>
      </c>
      <c r="H332" s="3">
        <f t="shared" si="67"/>
        <v>0</v>
      </c>
      <c r="I332">
        <v>240</v>
      </c>
      <c r="J332" s="4">
        <f t="shared" si="68"/>
        <v>0</v>
      </c>
      <c r="K332" s="1" t="str">
        <f t="shared" si="66"/>
        <v>NA</v>
      </c>
      <c r="L332" t="s">
        <v>350</v>
      </c>
      <c r="M332" s="3">
        <v>1</v>
      </c>
      <c r="N332" s="11"/>
    </row>
    <row r="333" spans="2:14" x14ac:dyDescent="0.25">
      <c r="B333" t="s">
        <v>242</v>
      </c>
      <c r="C333" t="s">
        <v>172</v>
      </c>
      <c r="D333" t="s">
        <v>222</v>
      </c>
      <c r="E333" t="s">
        <v>351</v>
      </c>
      <c r="F333" s="3"/>
      <c r="G333" s="2">
        <v>0.15</v>
      </c>
      <c r="H333" s="3">
        <f t="shared" si="67"/>
        <v>0</v>
      </c>
      <c r="I333">
        <v>240</v>
      </c>
      <c r="J333" s="4">
        <f t="shared" si="68"/>
        <v>0</v>
      </c>
      <c r="K333" s="1" t="str">
        <f t="shared" si="66"/>
        <v>NA</v>
      </c>
      <c r="L333" t="s">
        <v>183</v>
      </c>
      <c r="M333" s="3">
        <v>1</v>
      </c>
      <c r="N333" s="11"/>
    </row>
    <row r="334" spans="2:14" x14ac:dyDescent="0.25">
      <c r="B334" t="s">
        <v>242</v>
      </c>
      <c r="C334" t="s">
        <v>172</v>
      </c>
      <c r="D334" t="s">
        <v>222</v>
      </c>
      <c r="E334" t="s">
        <v>218</v>
      </c>
      <c r="F334" s="3">
        <v>30</v>
      </c>
      <c r="G334" s="2">
        <v>0.15</v>
      </c>
      <c r="H334" s="3">
        <f t="shared" si="67"/>
        <v>34.5</v>
      </c>
      <c r="I334">
        <v>240</v>
      </c>
      <c r="J334" s="4">
        <f t="shared" si="68"/>
        <v>2.2999999999999998</v>
      </c>
      <c r="K334" s="1">
        <f t="shared" si="66"/>
        <v>2</v>
      </c>
      <c r="L334" t="s">
        <v>81</v>
      </c>
      <c r="M334" s="3">
        <v>0</v>
      </c>
      <c r="N334" s="11"/>
    </row>
    <row r="335" spans="2:14" x14ac:dyDescent="0.25">
      <c r="B335" t="s">
        <v>242</v>
      </c>
      <c r="C335" t="s">
        <v>172</v>
      </c>
      <c r="D335" t="s">
        <v>222</v>
      </c>
      <c r="E335" t="s">
        <v>192</v>
      </c>
      <c r="F335" s="3"/>
      <c r="G335" s="2">
        <v>0.15</v>
      </c>
      <c r="H335" s="3">
        <f t="shared" si="67"/>
        <v>0</v>
      </c>
      <c r="I335">
        <v>240</v>
      </c>
      <c r="J335" s="4">
        <f t="shared" si="68"/>
        <v>0</v>
      </c>
      <c r="K335" s="1" t="str">
        <f t="shared" si="66"/>
        <v>NA</v>
      </c>
      <c r="L335" t="s">
        <v>183</v>
      </c>
      <c r="M335" s="3">
        <v>1</v>
      </c>
      <c r="N335" s="11"/>
    </row>
    <row r="336" spans="2:14" x14ac:dyDescent="0.25">
      <c r="B336" t="s">
        <v>242</v>
      </c>
      <c r="C336" t="s">
        <v>172</v>
      </c>
      <c r="D336" t="s">
        <v>222</v>
      </c>
      <c r="E336" t="s">
        <v>194</v>
      </c>
      <c r="F336" s="3"/>
      <c r="G336" s="2">
        <v>0.15</v>
      </c>
      <c r="H336" s="3">
        <f t="shared" si="67"/>
        <v>0</v>
      </c>
      <c r="I336">
        <v>240</v>
      </c>
      <c r="J336" s="4">
        <f t="shared" si="68"/>
        <v>0</v>
      </c>
      <c r="K336" s="1" t="str">
        <f t="shared" si="66"/>
        <v>NA</v>
      </c>
      <c r="L336" t="s">
        <v>81</v>
      </c>
      <c r="M336" s="3">
        <v>0</v>
      </c>
      <c r="N336" s="11"/>
    </row>
    <row r="337" spans="2:14" x14ac:dyDescent="0.25">
      <c r="B337" t="s">
        <v>242</v>
      </c>
      <c r="C337" t="s">
        <v>172</v>
      </c>
      <c r="D337" t="s">
        <v>222</v>
      </c>
      <c r="E337" t="s">
        <v>219</v>
      </c>
      <c r="F337" s="3"/>
      <c r="G337" s="2">
        <v>0.15</v>
      </c>
      <c r="H337" s="3">
        <f t="shared" si="67"/>
        <v>0</v>
      </c>
      <c r="I337">
        <v>240</v>
      </c>
      <c r="J337" s="4">
        <f t="shared" si="68"/>
        <v>0</v>
      </c>
      <c r="K337" s="1" t="str">
        <f t="shared" si="66"/>
        <v>NA</v>
      </c>
      <c r="L337" t="s">
        <v>200</v>
      </c>
      <c r="M337" s="3">
        <v>1</v>
      </c>
      <c r="N337" s="11"/>
    </row>
    <row r="338" spans="2:14" x14ac:dyDescent="0.25">
      <c r="B338" t="s">
        <v>242</v>
      </c>
      <c r="C338" t="s">
        <v>172</v>
      </c>
      <c r="D338" t="s">
        <v>222</v>
      </c>
      <c r="E338" t="s">
        <v>221</v>
      </c>
      <c r="F338" s="3"/>
      <c r="G338" s="2">
        <v>0.15</v>
      </c>
      <c r="H338" s="3">
        <f t="shared" si="67"/>
        <v>0</v>
      </c>
      <c r="I338">
        <v>240</v>
      </c>
      <c r="J338" s="4">
        <f t="shared" si="68"/>
        <v>0</v>
      </c>
      <c r="K338" s="1" t="str">
        <f t="shared" si="66"/>
        <v>NA</v>
      </c>
      <c r="L338" t="s">
        <v>352</v>
      </c>
      <c r="M338" s="3">
        <v>1</v>
      </c>
      <c r="N338" s="11"/>
    </row>
    <row r="339" spans="2:14" x14ac:dyDescent="0.25">
      <c r="B339" t="s">
        <v>242</v>
      </c>
      <c r="C339" t="s">
        <v>172</v>
      </c>
      <c r="D339" t="s">
        <v>222</v>
      </c>
      <c r="E339" t="s">
        <v>220</v>
      </c>
      <c r="F339" s="3"/>
      <c r="G339" s="2">
        <v>0.15</v>
      </c>
      <c r="H339" s="3">
        <f t="shared" si="67"/>
        <v>0</v>
      </c>
      <c r="I339">
        <v>240</v>
      </c>
      <c r="J339" s="4">
        <f t="shared" si="68"/>
        <v>0</v>
      </c>
      <c r="K339" s="1" t="str">
        <f t="shared" si="66"/>
        <v>NA</v>
      </c>
      <c r="L339" t="s">
        <v>201</v>
      </c>
      <c r="M339" s="3">
        <v>1</v>
      </c>
      <c r="N339" s="11"/>
    </row>
    <row r="340" spans="2:14" x14ac:dyDescent="0.25">
      <c r="B340" t="s">
        <v>353</v>
      </c>
      <c r="C340" t="s">
        <v>9</v>
      </c>
      <c r="D340" t="s">
        <v>9</v>
      </c>
      <c r="E340" t="s">
        <v>356</v>
      </c>
      <c r="F340" s="3">
        <v>40</v>
      </c>
      <c r="G340" s="2">
        <v>0.15</v>
      </c>
      <c r="H340" s="3">
        <f t="shared" ref="H340:H363" si="69">+F340+(F340*G340)</f>
        <v>46</v>
      </c>
      <c r="I340">
        <v>240</v>
      </c>
      <c r="J340" s="4">
        <f t="shared" ref="J340:J363" si="70">+H340/(3600/I340)</f>
        <v>3.0666666666666669</v>
      </c>
      <c r="K340" s="1">
        <f t="shared" si="66"/>
        <v>3</v>
      </c>
      <c r="L340" t="s">
        <v>366</v>
      </c>
      <c r="M340">
        <v>3</v>
      </c>
      <c r="N340" s="6"/>
    </row>
    <row r="341" spans="2:14" x14ac:dyDescent="0.25">
      <c r="B341" t="s">
        <v>353</v>
      </c>
      <c r="C341" t="s">
        <v>9</v>
      </c>
      <c r="D341" t="s">
        <v>9</v>
      </c>
      <c r="E341" t="s">
        <v>357</v>
      </c>
      <c r="F341" s="3">
        <v>3</v>
      </c>
      <c r="G341" s="2">
        <v>0.15</v>
      </c>
      <c r="H341" s="3">
        <f t="shared" si="69"/>
        <v>3.45</v>
      </c>
      <c r="I341">
        <v>240</v>
      </c>
      <c r="J341" s="4">
        <f t="shared" si="70"/>
        <v>0.23</v>
      </c>
      <c r="K341" s="1">
        <f t="shared" si="66"/>
        <v>1</v>
      </c>
      <c r="L341" t="s">
        <v>17</v>
      </c>
      <c r="M341">
        <v>3</v>
      </c>
      <c r="N341" s="6"/>
    </row>
    <row r="342" spans="2:14" x14ac:dyDescent="0.25">
      <c r="B342" t="s">
        <v>353</v>
      </c>
      <c r="C342" t="s">
        <v>9</v>
      </c>
      <c r="D342" t="s">
        <v>9</v>
      </c>
      <c r="E342" t="s">
        <v>358</v>
      </c>
      <c r="F342" s="3">
        <v>3.1</v>
      </c>
      <c r="G342" s="2">
        <v>0.15</v>
      </c>
      <c r="H342" s="3">
        <f t="shared" si="69"/>
        <v>3.5649999999999999</v>
      </c>
      <c r="I342">
        <v>240</v>
      </c>
      <c r="J342" s="4">
        <f t="shared" si="70"/>
        <v>0.23766666666666666</v>
      </c>
      <c r="K342" s="1">
        <f t="shared" si="66"/>
        <v>1</v>
      </c>
      <c r="N342" s="6"/>
    </row>
    <row r="343" spans="2:14" x14ac:dyDescent="0.25">
      <c r="B343" t="s">
        <v>353</v>
      </c>
      <c r="C343" t="s">
        <v>9</v>
      </c>
      <c r="D343" t="s">
        <v>9</v>
      </c>
      <c r="E343" t="s">
        <v>237</v>
      </c>
      <c r="F343" s="3">
        <v>3.1</v>
      </c>
      <c r="G343" s="2">
        <v>0.15</v>
      </c>
      <c r="H343" s="3">
        <f t="shared" si="69"/>
        <v>3.5649999999999999</v>
      </c>
      <c r="I343">
        <v>240</v>
      </c>
      <c r="J343" s="4">
        <f t="shared" si="70"/>
        <v>0.23766666666666666</v>
      </c>
      <c r="K343" s="1">
        <f t="shared" si="66"/>
        <v>1</v>
      </c>
      <c r="N343" s="6"/>
    </row>
    <row r="344" spans="2:14" x14ac:dyDescent="0.25">
      <c r="B344" t="s">
        <v>353</v>
      </c>
      <c r="C344" t="s">
        <v>9</v>
      </c>
      <c r="D344" t="s">
        <v>9</v>
      </c>
      <c r="E344" t="s">
        <v>238</v>
      </c>
      <c r="F344" s="3">
        <v>3.1</v>
      </c>
      <c r="G344" s="2">
        <v>0.15</v>
      </c>
      <c r="H344" s="3">
        <f t="shared" si="69"/>
        <v>3.5649999999999999</v>
      </c>
      <c r="I344">
        <v>240</v>
      </c>
      <c r="J344" s="4">
        <f t="shared" si="70"/>
        <v>0.23766666666666666</v>
      </c>
      <c r="K344" s="1">
        <f t="shared" si="66"/>
        <v>1</v>
      </c>
      <c r="N344" s="6"/>
    </row>
    <row r="345" spans="2:14" x14ac:dyDescent="0.25">
      <c r="B345" t="s">
        <v>353</v>
      </c>
      <c r="C345" t="s">
        <v>9</v>
      </c>
      <c r="D345" t="s">
        <v>9</v>
      </c>
      <c r="E345" t="s">
        <v>359</v>
      </c>
      <c r="F345" s="3">
        <v>3.3</v>
      </c>
      <c r="G345" s="2">
        <v>0.15</v>
      </c>
      <c r="H345" s="3">
        <f t="shared" si="69"/>
        <v>3.7949999999999999</v>
      </c>
      <c r="I345">
        <v>240</v>
      </c>
      <c r="J345" s="4">
        <f t="shared" si="70"/>
        <v>0.253</v>
      </c>
      <c r="K345" s="1">
        <f t="shared" si="66"/>
        <v>1</v>
      </c>
      <c r="N345" s="6"/>
    </row>
    <row r="346" spans="2:14" x14ac:dyDescent="0.25">
      <c r="B346" t="s">
        <v>353</v>
      </c>
      <c r="C346" t="s">
        <v>9</v>
      </c>
      <c r="D346" t="s">
        <v>9</v>
      </c>
      <c r="E346" t="s">
        <v>231</v>
      </c>
      <c r="F346" s="3">
        <v>3</v>
      </c>
      <c r="G346" s="2">
        <v>0.15</v>
      </c>
      <c r="H346" s="3">
        <f t="shared" si="69"/>
        <v>3.45</v>
      </c>
      <c r="I346">
        <v>240</v>
      </c>
      <c r="J346" s="4">
        <f t="shared" si="70"/>
        <v>0.23</v>
      </c>
      <c r="K346" s="1">
        <f t="shared" si="66"/>
        <v>1</v>
      </c>
      <c r="N346" s="6"/>
    </row>
    <row r="347" spans="2:14" x14ac:dyDescent="0.25">
      <c r="B347" t="s">
        <v>353</v>
      </c>
      <c r="C347" t="s">
        <v>9</v>
      </c>
      <c r="D347" t="s">
        <v>9</v>
      </c>
      <c r="E347" t="s">
        <v>236</v>
      </c>
      <c r="F347" s="3">
        <v>5</v>
      </c>
      <c r="G347" s="2">
        <v>0.15</v>
      </c>
      <c r="H347" s="3">
        <f t="shared" si="69"/>
        <v>5.75</v>
      </c>
      <c r="I347">
        <v>240</v>
      </c>
      <c r="J347" s="4">
        <f t="shared" si="70"/>
        <v>0.38333333333333336</v>
      </c>
      <c r="K347" s="1">
        <f t="shared" si="66"/>
        <v>1</v>
      </c>
      <c r="N347" s="6"/>
    </row>
    <row r="348" spans="2:14" x14ac:dyDescent="0.25">
      <c r="B348" t="s">
        <v>353</v>
      </c>
      <c r="C348" t="s">
        <v>9</v>
      </c>
      <c r="D348" t="s">
        <v>9</v>
      </c>
      <c r="E348" t="s">
        <v>34</v>
      </c>
      <c r="F348" s="3">
        <v>3.5</v>
      </c>
      <c r="G348" s="2">
        <v>0.15</v>
      </c>
      <c r="H348" s="3">
        <f t="shared" si="69"/>
        <v>4.0250000000000004</v>
      </c>
      <c r="I348">
        <v>240</v>
      </c>
      <c r="J348" s="4">
        <f t="shared" si="70"/>
        <v>0.26833333333333337</v>
      </c>
      <c r="K348" s="1">
        <f t="shared" si="66"/>
        <v>1</v>
      </c>
      <c r="N348" s="6"/>
    </row>
    <row r="349" spans="2:14" x14ac:dyDescent="0.25">
      <c r="B349" t="s">
        <v>353</v>
      </c>
      <c r="C349" t="s">
        <v>9</v>
      </c>
      <c r="D349" t="s">
        <v>9</v>
      </c>
      <c r="E349" t="s">
        <v>35</v>
      </c>
      <c r="F349" s="3">
        <v>3.5</v>
      </c>
      <c r="G349" s="2">
        <v>0.15</v>
      </c>
      <c r="H349" s="3">
        <f t="shared" si="69"/>
        <v>4.0250000000000004</v>
      </c>
      <c r="I349">
        <v>240</v>
      </c>
      <c r="J349" s="4">
        <f t="shared" si="70"/>
        <v>0.26833333333333337</v>
      </c>
      <c r="K349" s="1">
        <f t="shared" si="66"/>
        <v>1</v>
      </c>
      <c r="N349" s="6"/>
    </row>
    <row r="350" spans="2:14" x14ac:dyDescent="0.25">
      <c r="B350" t="s">
        <v>353</v>
      </c>
      <c r="C350" t="s">
        <v>9</v>
      </c>
      <c r="D350" t="s">
        <v>9</v>
      </c>
      <c r="E350" t="s">
        <v>360</v>
      </c>
      <c r="F350" s="3">
        <v>3.5</v>
      </c>
      <c r="G350" s="2">
        <v>0.15</v>
      </c>
      <c r="H350" s="3">
        <f t="shared" si="69"/>
        <v>4.0250000000000004</v>
      </c>
      <c r="I350">
        <v>240</v>
      </c>
      <c r="J350" s="4">
        <f t="shared" si="70"/>
        <v>0.26833333333333337</v>
      </c>
      <c r="K350" s="1">
        <f t="shared" si="66"/>
        <v>1</v>
      </c>
      <c r="N350" s="6"/>
    </row>
    <row r="351" spans="2:14" x14ac:dyDescent="0.25">
      <c r="B351" t="s">
        <v>353</v>
      </c>
      <c r="C351" t="s">
        <v>9</v>
      </c>
      <c r="D351" t="s">
        <v>9</v>
      </c>
      <c r="E351" t="s">
        <v>361</v>
      </c>
      <c r="F351" s="3">
        <v>5</v>
      </c>
      <c r="G351" s="2">
        <v>0.15</v>
      </c>
      <c r="H351" s="3">
        <f t="shared" si="69"/>
        <v>5.75</v>
      </c>
      <c r="I351">
        <v>240</v>
      </c>
      <c r="J351" s="4">
        <f t="shared" si="70"/>
        <v>0.38333333333333336</v>
      </c>
      <c r="K351" s="1">
        <f t="shared" si="66"/>
        <v>1</v>
      </c>
      <c r="N351" s="6"/>
    </row>
    <row r="352" spans="2:14" x14ac:dyDescent="0.25">
      <c r="B352" t="s">
        <v>353</v>
      </c>
      <c r="C352" t="s">
        <v>9</v>
      </c>
      <c r="D352" t="s">
        <v>9</v>
      </c>
      <c r="E352" t="s">
        <v>362</v>
      </c>
      <c r="F352" s="3">
        <v>3.5</v>
      </c>
      <c r="G352" s="2">
        <v>0.15</v>
      </c>
      <c r="H352" s="3">
        <f t="shared" si="69"/>
        <v>4.0250000000000004</v>
      </c>
      <c r="I352">
        <v>240</v>
      </c>
      <c r="J352" s="4">
        <f t="shared" si="70"/>
        <v>0.26833333333333337</v>
      </c>
      <c r="K352" s="1">
        <f t="shared" si="66"/>
        <v>1</v>
      </c>
      <c r="N352" s="6"/>
    </row>
    <row r="353" spans="2:14" x14ac:dyDescent="0.25">
      <c r="B353" t="s">
        <v>353</v>
      </c>
      <c r="C353" t="s">
        <v>9</v>
      </c>
      <c r="D353" t="s">
        <v>9</v>
      </c>
      <c r="E353" t="s">
        <v>37</v>
      </c>
      <c r="F353" s="3">
        <v>6.5</v>
      </c>
      <c r="G353" s="2">
        <v>0.15</v>
      </c>
      <c r="H353" s="3">
        <f t="shared" si="69"/>
        <v>7.4749999999999996</v>
      </c>
      <c r="I353">
        <v>240</v>
      </c>
      <c r="J353" s="4">
        <f t="shared" si="70"/>
        <v>0.49833333333333329</v>
      </c>
      <c r="K353" s="1">
        <f t="shared" si="66"/>
        <v>1</v>
      </c>
      <c r="L353" t="s">
        <v>367</v>
      </c>
      <c r="M353">
        <v>2</v>
      </c>
      <c r="N353" s="6"/>
    </row>
    <row r="354" spans="2:14" x14ac:dyDescent="0.25">
      <c r="B354" t="s">
        <v>353</v>
      </c>
      <c r="C354" t="s">
        <v>9</v>
      </c>
      <c r="D354" t="s">
        <v>9</v>
      </c>
      <c r="E354" t="s">
        <v>39</v>
      </c>
      <c r="F354" s="3">
        <v>8.5</v>
      </c>
      <c r="G354" s="2">
        <v>0.15</v>
      </c>
      <c r="H354" s="3">
        <f t="shared" si="69"/>
        <v>9.7750000000000004</v>
      </c>
      <c r="I354">
        <v>240</v>
      </c>
      <c r="J354" s="4">
        <f t="shared" si="70"/>
        <v>0.65166666666666673</v>
      </c>
      <c r="K354" s="1">
        <f t="shared" si="66"/>
        <v>1</v>
      </c>
      <c r="N354" s="6"/>
    </row>
    <row r="355" spans="2:14" x14ac:dyDescent="0.25">
      <c r="B355" t="s">
        <v>353</v>
      </c>
      <c r="C355" t="s">
        <v>9</v>
      </c>
      <c r="D355" t="s">
        <v>9</v>
      </c>
      <c r="E355" t="s">
        <v>363</v>
      </c>
      <c r="F355" s="3">
        <v>8.5</v>
      </c>
      <c r="G355" s="2">
        <v>0.15</v>
      </c>
      <c r="H355" s="3">
        <f t="shared" si="69"/>
        <v>9.7750000000000004</v>
      </c>
      <c r="I355">
        <v>240</v>
      </c>
      <c r="J355" s="4">
        <f t="shared" si="70"/>
        <v>0.65166666666666673</v>
      </c>
      <c r="K355" s="1">
        <f t="shared" si="66"/>
        <v>1</v>
      </c>
      <c r="N355" s="6"/>
    </row>
    <row r="356" spans="2:14" x14ac:dyDescent="0.25">
      <c r="B356" t="s">
        <v>353</v>
      </c>
      <c r="C356" t="s">
        <v>9</v>
      </c>
      <c r="D356" t="s">
        <v>9</v>
      </c>
      <c r="E356" t="s">
        <v>226</v>
      </c>
      <c r="F356" s="3">
        <v>4.5</v>
      </c>
      <c r="G356" s="2">
        <v>0.15</v>
      </c>
      <c r="H356" s="3">
        <f t="shared" si="69"/>
        <v>5.1749999999999998</v>
      </c>
      <c r="I356">
        <v>240</v>
      </c>
      <c r="J356" s="4">
        <f t="shared" si="70"/>
        <v>0.34499999999999997</v>
      </c>
      <c r="K356" s="1">
        <f t="shared" si="66"/>
        <v>1</v>
      </c>
      <c r="L356" t="s">
        <v>368</v>
      </c>
      <c r="M356">
        <v>3</v>
      </c>
      <c r="N356" s="6"/>
    </row>
    <row r="357" spans="2:14" x14ac:dyDescent="0.25">
      <c r="B357" t="s">
        <v>353</v>
      </c>
      <c r="C357" t="s">
        <v>9</v>
      </c>
      <c r="D357" t="s">
        <v>9</v>
      </c>
      <c r="E357" t="s">
        <v>227</v>
      </c>
      <c r="F357" s="3">
        <v>6.5</v>
      </c>
      <c r="G357" s="2">
        <v>0.15</v>
      </c>
      <c r="H357" s="3">
        <f t="shared" si="69"/>
        <v>7.4749999999999996</v>
      </c>
      <c r="I357">
        <v>240</v>
      </c>
      <c r="J357" s="4">
        <f t="shared" si="70"/>
        <v>0.49833333333333329</v>
      </c>
      <c r="K357" s="1">
        <f t="shared" si="66"/>
        <v>1</v>
      </c>
      <c r="N357" s="6"/>
    </row>
    <row r="358" spans="2:14" x14ac:dyDescent="0.25">
      <c r="B358" t="s">
        <v>353</v>
      </c>
      <c r="C358" t="s">
        <v>9</v>
      </c>
      <c r="D358" t="s">
        <v>9</v>
      </c>
      <c r="E358" t="s">
        <v>26</v>
      </c>
      <c r="F358" s="3">
        <v>3.5</v>
      </c>
      <c r="G358" s="2">
        <v>0.15</v>
      </c>
      <c r="H358" s="3">
        <f t="shared" si="69"/>
        <v>4.0250000000000004</v>
      </c>
      <c r="I358">
        <v>240</v>
      </c>
      <c r="J358" s="4">
        <f t="shared" si="70"/>
        <v>0.26833333333333337</v>
      </c>
      <c r="K358" s="1">
        <f t="shared" si="66"/>
        <v>1</v>
      </c>
      <c r="N358" s="6"/>
    </row>
    <row r="359" spans="2:14" x14ac:dyDescent="0.25">
      <c r="B359" t="s">
        <v>353</v>
      </c>
      <c r="C359" t="s">
        <v>9</v>
      </c>
      <c r="D359" t="s">
        <v>9</v>
      </c>
      <c r="E359" t="s">
        <v>364</v>
      </c>
      <c r="F359" s="3">
        <v>4.5</v>
      </c>
      <c r="G359" s="2">
        <v>0.15</v>
      </c>
      <c r="H359" s="3">
        <f t="shared" si="69"/>
        <v>5.1749999999999998</v>
      </c>
      <c r="I359">
        <v>240</v>
      </c>
      <c r="J359" s="4">
        <f t="shared" si="70"/>
        <v>0.34499999999999997</v>
      </c>
      <c r="K359" s="1">
        <f t="shared" si="66"/>
        <v>1</v>
      </c>
      <c r="N359" s="6"/>
    </row>
    <row r="360" spans="2:14" x14ac:dyDescent="0.25">
      <c r="B360" t="s">
        <v>353</v>
      </c>
      <c r="C360" t="s">
        <v>9</v>
      </c>
      <c r="D360" t="s">
        <v>9</v>
      </c>
      <c r="E360" t="s">
        <v>228</v>
      </c>
      <c r="F360" s="3">
        <v>6</v>
      </c>
      <c r="G360" s="2">
        <v>0.15</v>
      </c>
      <c r="H360" s="3">
        <f t="shared" si="69"/>
        <v>6.9</v>
      </c>
      <c r="I360">
        <v>240</v>
      </c>
      <c r="J360" s="4">
        <f t="shared" si="70"/>
        <v>0.46</v>
      </c>
      <c r="K360" s="1">
        <f t="shared" si="66"/>
        <v>1</v>
      </c>
      <c r="N360" s="6"/>
    </row>
    <row r="361" spans="2:14" x14ac:dyDescent="0.25">
      <c r="B361" t="s">
        <v>353</v>
      </c>
      <c r="C361" t="s">
        <v>9</v>
      </c>
      <c r="D361" t="s">
        <v>9</v>
      </c>
      <c r="E361" t="s">
        <v>354</v>
      </c>
      <c r="F361" s="3">
        <v>8</v>
      </c>
      <c r="G361" s="2">
        <v>0.15</v>
      </c>
      <c r="H361" s="3">
        <f t="shared" si="69"/>
        <v>9.1999999999999993</v>
      </c>
      <c r="I361">
        <v>240</v>
      </c>
      <c r="J361" s="4">
        <f t="shared" si="70"/>
        <v>0.61333333333333329</v>
      </c>
      <c r="K361" s="1">
        <f t="shared" si="66"/>
        <v>1</v>
      </c>
      <c r="N361" s="6"/>
    </row>
    <row r="362" spans="2:14" x14ac:dyDescent="0.25">
      <c r="B362" t="s">
        <v>353</v>
      </c>
      <c r="C362" t="s">
        <v>9</v>
      </c>
      <c r="D362" t="s">
        <v>9</v>
      </c>
      <c r="E362" t="s">
        <v>355</v>
      </c>
      <c r="F362" s="3">
        <v>3.5</v>
      </c>
      <c r="G362" s="2">
        <v>0.15</v>
      </c>
      <c r="H362" s="3">
        <f t="shared" si="69"/>
        <v>4.0250000000000004</v>
      </c>
      <c r="I362">
        <v>240</v>
      </c>
      <c r="J362" s="4">
        <f t="shared" si="70"/>
        <v>0.26833333333333337</v>
      </c>
      <c r="K362" s="1">
        <f t="shared" si="66"/>
        <v>1</v>
      </c>
      <c r="N362" s="6"/>
    </row>
    <row r="363" spans="2:14" x14ac:dyDescent="0.25">
      <c r="B363" t="s">
        <v>353</v>
      </c>
      <c r="C363" t="s">
        <v>9</v>
      </c>
      <c r="D363" t="s">
        <v>9</v>
      </c>
      <c r="E363" t="s">
        <v>365</v>
      </c>
      <c r="F363" s="3">
        <v>4.5</v>
      </c>
      <c r="G363" s="2">
        <v>0.15</v>
      </c>
      <c r="H363" s="3">
        <f t="shared" si="69"/>
        <v>5.1749999999999998</v>
      </c>
      <c r="I363">
        <v>240</v>
      </c>
      <c r="J363" s="4">
        <f t="shared" si="70"/>
        <v>0.34499999999999997</v>
      </c>
      <c r="K363" s="1">
        <f t="shared" si="66"/>
        <v>1</v>
      </c>
      <c r="N363" s="6"/>
    </row>
    <row r="364" spans="2:14" x14ac:dyDescent="0.25">
      <c r="B364" t="s">
        <v>353</v>
      </c>
      <c r="C364" t="s">
        <v>9</v>
      </c>
      <c r="D364" t="s">
        <v>119</v>
      </c>
      <c r="E364" t="s">
        <v>41</v>
      </c>
      <c r="F364" s="3">
        <v>3.5</v>
      </c>
      <c r="G364" s="2">
        <v>0.15</v>
      </c>
      <c r="H364" s="3">
        <f t="shared" ref="H364:H372" si="71">+F364+(F364*G364)</f>
        <v>4.0250000000000004</v>
      </c>
      <c r="I364">
        <v>240</v>
      </c>
      <c r="J364" s="4">
        <f t="shared" ref="J364:J372" si="72">+H364/(3600/I364)</f>
        <v>0.26833333333333337</v>
      </c>
      <c r="K364" s="1">
        <f t="shared" si="66"/>
        <v>1</v>
      </c>
      <c r="L364" t="s">
        <v>373</v>
      </c>
      <c r="M364">
        <v>2</v>
      </c>
      <c r="N364" s="6"/>
    </row>
    <row r="365" spans="2:14" x14ac:dyDescent="0.25">
      <c r="B365" t="s">
        <v>353</v>
      </c>
      <c r="C365" t="s">
        <v>9</v>
      </c>
      <c r="D365" t="s">
        <v>119</v>
      </c>
      <c r="E365" t="s">
        <v>42</v>
      </c>
      <c r="F365" s="3">
        <v>12</v>
      </c>
      <c r="G365" s="2">
        <v>0.15</v>
      </c>
      <c r="H365" s="3">
        <f t="shared" si="71"/>
        <v>13.8</v>
      </c>
      <c r="I365">
        <v>240</v>
      </c>
      <c r="J365" s="4">
        <f t="shared" si="72"/>
        <v>0.92</v>
      </c>
      <c r="K365" s="1">
        <f t="shared" si="66"/>
        <v>1</v>
      </c>
      <c r="N365" s="6"/>
    </row>
    <row r="366" spans="2:14" x14ac:dyDescent="0.25">
      <c r="B366" t="s">
        <v>353</v>
      </c>
      <c r="C366" t="s">
        <v>9</v>
      </c>
      <c r="D366" t="s">
        <v>119</v>
      </c>
      <c r="E366" t="s">
        <v>43</v>
      </c>
      <c r="F366" s="3">
        <v>10</v>
      </c>
      <c r="G366" s="2">
        <v>0.15</v>
      </c>
      <c r="H366" s="3">
        <f t="shared" si="71"/>
        <v>11.5</v>
      </c>
      <c r="I366">
        <v>240</v>
      </c>
      <c r="J366" s="4">
        <f t="shared" si="72"/>
        <v>0.76666666666666672</v>
      </c>
      <c r="K366" s="1">
        <f t="shared" si="66"/>
        <v>1</v>
      </c>
      <c r="N366" s="6"/>
    </row>
    <row r="367" spans="2:14" x14ac:dyDescent="0.25">
      <c r="B367" t="s">
        <v>353</v>
      </c>
      <c r="C367" t="s">
        <v>9</v>
      </c>
      <c r="D367" t="s">
        <v>119</v>
      </c>
      <c r="E367" t="s">
        <v>250</v>
      </c>
      <c r="F367" s="3">
        <v>3</v>
      </c>
      <c r="G367" s="2">
        <v>0.15</v>
      </c>
      <c r="H367" s="3">
        <f t="shared" si="71"/>
        <v>3.45</v>
      </c>
      <c r="I367">
        <v>240</v>
      </c>
      <c r="J367" s="4">
        <f t="shared" si="72"/>
        <v>0.23</v>
      </c>
      <c r="K367" s="1">
        <f t="shared" si="66"/>
        <v>1</v>
      </c>
      <c r="L367" t="s">
        <v>374</v>
      </c>
      <c r="M367">
        <v>1</v>
      </c>
      <c r="N367" s="6"/>
    </row>
    <row r="368" spans="2:14" x14ac:dyDescent="0.25">
      <c r="B368" t="s">
        <v>353</v>
      </c>
      <c r="C368" t="s">
        <v>9</v>
      </c>
      <c r="D368" t="s">
        <v>119</v>
      </c>
      <c r="E368" t="s">
        <v>369</v>
      </c>
      <c r="F368" s="3">
        <v>6</v>
      </c>
      <c r="G368" s="2">
        <v>0.15</v>
      </c>
      <c r="H368" s="3">
        <f t="shared" si="71"/>
        <v>6.9</v>
      </c>
      <c r="I368">
        <v>240</v>
      </c>
      <c r="J368" s="4">
        <f t="shared" si="72"/>
        <v>0.46</v>
      </c>
      <c r="K368" s="1">
        <f t="shared" si="66"/>
        <v>1</v>
      </c>
      <c r="L368" t="s">
        <v>374</v>
      </c>
      <c r="M368">
        <v>1</v>
      </c>
      <c r="N368" s="6"/>
    </row>
    <row r="369" spans="2:14" x14ac:dyDescent="0.25">
      <c r="B369" t="s">
        <v>353</v>
      </c>
      <c r="C369" t="s">
        <v>9</v>
      </c>
      <c r="D369" t="s">
        <v>119</v>
      </c>
      <c r="E369" t="s">
        <v>370</v>
      </c>
      <c r="F369" s="3">
        <v>21.5</v>
      </c>
      <c r="G369" s="2">
        <v>0.15</v>
      </c>
      <c r="H369" s="3">
        <f t="shared" si="71"/>
        <v>24.725000000000001</v>
      </c>
      <c r="I369">
        <v>240</v>
      </c>
      <c r="J369" s="4">
        <f t="shared" si="72"/>
        <v>1.6483333333333334</v>
      </c>
      <c r="K369" s="1">
        <f t="shared" si="66"/>
        <v>2</v>
      </c>
      <c r="L369" t="s">
        <v>51</v>
      </c>
      <c r="M369">
        <v>2</v>
      </c>
      <c r="N369" s="6"/>
    </row>
    <row r="370" spans="2:14" x14ac:dyDescent="0.25">
      <c r="B370" t="s">
        <v>353</v>
      </c>
      <c r="C370" t="s">
        <v>9</v>
      </c>
      <c r="D370" t="s">
        <v>119</v>
      </c>
      <c r="E370" t="s">
        <v>371</v>
      </c>
      <c r="F370" s="3">
        <v>6.5</v>
      </c>
      <c r="G370" s="2">
        <v>0.15</v>
      </c>
      <c r="H370" s="3">
        <f t="shared" si="71"/>
        <v>7.4749999999999996</v>
      </c>
      <c r="I370">
        <v>240</v>
      </c>
      <c r="J370" s="4">
        <f t="shared" si="72"/>
        <v>0.49833333333333329</v>
      </c>
      <c r="K370" s="1">
        <f t="shared" si="66"/>
        <v>1</v>
      </c>
      <c r="L370" t="s">
        <v>50</v>
      </c>
      <c r="M370">
        <v>2</v>
      </c>
      <c r="N370" s="6"/>
    </row>
    <row r="371" spans="2:14" x14ac:dyDescent="0.25">
      <c r="B371" t="s">
        <v>353</v>
      </c>
      <c r="C371" t="s">
        <v>9</v>
      </c>
      <c r="D371" t="s">
        <v>119</v>
      </c>
      <c r="E371" t="s">
        <v>372</v>
      </c>
      <c r="F371" s="3">
        <v>9</v>
      </c>
      <c r="G371" s="2">
        <v>0.15</v>
      </c>
      <c r="H371" s="3">
        <f t="shared" si="71"/>
        <v>10.35</v>
      </c>
      <c r="I371">
        <v>240</v>
      </c>
      <c r="J371" s="4">
        <f t="shared" si="72"/>
        <v>0.69</v>
      </c>
      <c r="K371" s="1">
        <f t="shared" si="66"/>
        <v>1</v>
      </c>
      <c r="N371" s="6"/>
    </row>
    <row r="372" spans="2:14" x14ac:dyDescent="0.25">
      <c r="B372" t="s">
        <v>353</v>
      </c>
      <c r="C372" t="s">
        <v>9</v>
      </c>
      <c r="D372" t="s">
        <v>119</v>
      </c>
      <c r="E372" t="s">
        <v>246</v>
      </c>
      <c r="F372" s="3">
        <v>13</v>
      </c>
      <c r="G372" s="2">
        <v>0.15</v>
      </c>
      <c r="H372" s="3">
        <f t="shared" si="71"/>
        <v>14.95</v>
      </c>
      <c r="I372">
        <v>240</v>
      </c>
      <c r="J372" s="4">
        <f t="shared" si="72"/>
        <v>0.99666666666666659</v>
      </c>
      <c r="K372" s="1">
        <f t="shared" si="66"/>
        <v>1</v>
      </c>
      <c r="N372" s="6"/>
    </row>
    <row r="373" spans="2:14" x14ac:dyDescent="0.25">
      <c r="B373" t="s">
        <v>353</v>
      </c>
      <c r="C373" t="s">
        <v>55</v>
      </c>
      <c r="D373" t="s">
        <v>55</v>
      </c>
      <c r="E373" t="s">
        <v>375</v>
      </c>
      <c r="F373" s="3">
        <v>10.5</v>
      </c>
      <c r="G373" s="2">
        <v>0.15</v>
      </c>
      <c r="H373" s="3">
        <f t="shared" ref="H373:H376" si="73">+F373+(F373*G373)</f>
        <v>12.074999999999999</v>
      </c>
      <c r="I373">
        <v>240</v>
      </c>
      <c r="J373" s="4">
        <f t="shared" ref="J373:J376" si="74">+H373/(3600/I373)</f>
        <v>0.80499999999999994</v>
      </c>
      <c r="K373" s="1">
        <f t="shared" si="66"/>
        <v>1</v>
      </c>
      <c r="L373" t="s">
        <v>56</v>
      </c>
      <c r="M373">
        <v>1</v>
      </c>
      <c r="N373" s="9"/>
    </row>
    <row r="374" spans="2:14" x14ac:dyDescent="0.25">
      <c r="B374" t="s">
        <v>353</v>
      </c>
      <c r="C374" t="s">
        <v>55</v>
      </c>
      <c r="D374" t="s">
        <v>55</v>
      </c>
      <c r="E374" t="s">
        <v>376</v>
      </c>
      <c r="F374" s="3">
        <v>32</v>
      </c>
      <c r="G374" s="2">
        <v>0.15</v>
      </c>
      <c r="H374" s="3">
        <f t="shared" si="73"/>
        <v>36.799999999999997</v>
      </c>
      <c r="I374">
        <v>240</v>
      </c>
      <c r="J374" s="4">
        <f t="shared" si="74"/>
        <v>2.4533333333333331</v>
      </c>
      <c r="K374" s="1">
        <f t="shared" si="66"/>
        <v>2</v>
      </c>
      <c r="L374" t="s">
        <v>378</v>
      </c>
      <c r="M374">
        <v>2</v>
      </c>
      <c r="N374" s="9"/>
    </row>
    <row r="375" spans="2:14" x14ac:dyDescent="0.25">
      <c r="B375" t="s">
        <v>353</v>
      </c>
      <c r="C375" t="s">
        <v>55</v>
      </c>
      <c r="D375" t="s">
        <v>55</v>
      </c>
      <c r="E375" t="s">
        <v>53</v>
      </c>
      <c r="F375" s="3">
        <v>16</v>
      </c>
      <c r="G375" s="2">
        <v>0.15</v>
      </c>
      <c r="H375" s="3">
        <f t="shared" si="73"/>
        <v>18.399999999999999</v>
      </c>
      <c r="I375">
        <v>240</v>
      </c>
      <c r="J375" s="4">
        <f t="shared" si="74"/>
        <v>1.2266666666666666</v>
      </c>
      <c r="K375" s="1">
        <f t="shared" si="66"/>
        <v>1</v>
      </c>
      <c r="L375" t="s">
        <v>378</v>
      </c>
      <c r="M375">
        <v>1</v>
      </c>
      <c r="N375" s="9"/>
    </row>
    <row r="376" spans="2:14" x14ac:dyDescent="0.25">
      <c r="B376" t="s">
        <v>353</v>
      </c>
      <c r="C376" t="s">
        <v>55</v>
      </c>
      <c r="D376" t="s">
        <v>55</v>
      </c>
      <c r="E376" t="s">
        <v>377</v>
      </c>
      <c r="F376" s="3">
        <v>26</v>
      </c>
      <c r="G376" s="2">
        <v>0.15</v>
      </c>
      <c r="H376" s="3">
        <f t="shared" si="73"/>
        <v>29.9</v>
      </c>
      <c r="I376">
        <v>240</v>
      </c>
      <c r="J376" s="4">
        <f t="shared" si="74"/>
        <v>1.9933333333333332</v>
      </c>
      <c r="K376" s="1">
        <f t="shared" si="66"/>
        <v>2</v>
      </c>
      <c r="L376" t="s">
        <v>379</v>
      </c>
      <c r="M376">
        <v>2</v>
      </c>
      <c r="N376" s="9"/>
    </row>
    <row r="377" spans="2:14" x14ac:dyDescent="0.25">
      <c r="B377" t="s">
        <v>353</v>
      </c>
      <c r="C377" t="s">
        <v>55</v>
      </c>
      <c r="D377" t="s">
        <v>385</v>
      </c>
      <c r="E377" t="s">
        <v>380</v>
      </c>
      <c r="F377" s="3">
        <v>32</v>
      </c>
      <c r="G377" s="2">
        <v>0.15</v>
      </c>
      <c r="H377" s="3">
        <f t="shared" ref="H377:H384" si="75">+F377+(F377*G377)</f>
        <v>36.799999999999997</v>
      </c>
      <c r="I377">
        <v>240</v>
      </c>
      <c r="J377" s="4">
        <f t="shared" ref="J377:J384" si="76">+H377/(3600/I377)</f>
        <v>2.4533333333333331</v>
      </c>
      <c r="K377" s="1">
        <f t="shared" si="66"/>
        <v>2</v>
      </c>
      <c r="L377" t="s">
        <v>80</v>
      </c>
      <c r="M377">
        <v>2</v>
      </c>
      <c r="N377" s="9"/>
    </row>
    <row r="378" spans="2:14" x14ac:dyDescent="0.25">
      <c r="B378" t="s">
        <v>353</v>
      </c>
      <c r="C378" t="s">
        <v>55</v>
      </c>
      <c r="D378" t="s">
        <v>385</v>
      </c>
      <c r="E378" t="s">
        <v>381</v>
      </c>
      <c r="F378" s="3">
        <v>34</v>
      </c>
      <c r="G378" s="2">
        <v>0.15</v>
      </c>
      <c r="H378" s="3">
        <f t="shared" si="75"/>
        <v>39.1</v>
      </c>
      <c r="I378">
        <v>240</v>
      </c>
      <c r="J378" s="4">
        <f t="shared" si="76"/>
        <v>2.6066666666666669</v>
      </c>
      <c r="K378" s="1">
        <f t="shared" si="66"/>
        <v>3</v>
      </c>
      <c r="L378" t="s">
        <v>81</v>
      </c>
      <c r="M378">
        <v>3</v>
      </c>
      <c r="N378" s="9"/>
    </row>
    <row r="379" spans="2:14" x14ac:dyDescent="0.25">
      <c r="B379" t="s">
        <v>353</v>
      </c>
      <c r="C379" t="s">
        <v>55</v>
      </c>
      <c r="D379" t="s">
        <v>385</v>
      </c>
      <c r="E379" t="s">
        <v>382</v>
      </c>
      <c r="F379" s="3">
        <v>30</v>
      </c>
      <c r="G379" s="2">
        <v>0.15</v>
      </c>
      <c r="H379" s="3">
        <f t="shared" si="75"/>
        <v>34.5</v>
      </c>
      <c r="I379">
        <v>240</v>
      </c>
      <c r="J379" s="4">
        <f t="shared" si="76"/>
        <v>2.2999999999999998</v>
      </c>
      <c r="K379" s="1">
        <f t="shared" ref="K379:K392" si="77">IF(SUM(J379:J379)=0,"NA",IF(SUM(J379:J379)&lt;1,1,IF(MOD(SUM(J379:J379),1)&gt;=0.5,ROUNDUP(SUM(J379:J379),0),ROUNDDOWN(SUM(J379:J379),0))))</f>
        <v>2</v>
      </c>
      <c r="L379" t="s">
        <v>81</v>
      </c>
      <c r="M379">
        <v>2</v>
      </c>
      <c r="N379" s="9"/>
    </row>
    <row r="380" spans="2:14" x14ac:dyDescent="0.25">
      <c r="B380" t="s">
        <v>353</v>
      </c>
      <c r="C380" t="s">
        <v>55</v>
      </c>
      <c r="D380" t="s">
        <v>385</v>
      </c>
      <c r="E380" t="s">
        <v>264</v>
      </c>
      <c r="F380" s="3">
        <v>32</v>
      </c>
      <c r="G380" s="2">
        <v>0.15</v>
      </c>
      <c r="H380" s="3">
        <f t="shared" si="75"/>
        <v>36.799999999999997</v>
      </c>
      <c r="I380">
        <v>240</v>
      </c>
      <c r="J380" s="4">
        <f t="shared" si="76"/>
        <v>2.4533333333333331</v>
      </c>
      <c r="K380" s="1">
        <f t="shared" si="77"/>
        <v>2</v>
      </c>
      <c r="L380" t="s">
        <v>81</v>
      </c>
      <c r="M380">
        <v>2</v>
      </c>
      <c r="N380" s="9"/>
    </row>
    <row r="381" spans="2:14" x14ac:dyDescent="0.25">
      <c r="B381" t="s">
        <v>353</v>
      </c>
      <c r="C381" t="s">
        <v>55</v>
      </c>
      <c r="D381" t="s">
        <v>385</v>
      </c>
      <c r="E381" t="s">
        <v>265</v>
      </c>
      <c r="F381" s="3">
        <v>19.7</v>
      </c>
      <c r="G381" s="2">
        <v>0.15</v>
      </c>
      <c r="H381" s="3">
        <f t="shared" si="75"/>
        <v>22.654999999999998</v>
      </c>
      <c r="I381">
        <v>240</v>
      </c>
      <c r="J381" s="4">
        <f t="shared" si="76"/>
        <v>1.5103333333333331</v>
      </c>
      <c r="K381" s="1">
        <f t="shared" si="77"/>
        <v>2</v>
      </c>
      <c r="L381" t="s">
        <v>81</v>
      </c>
      <c r="M381">
        <v>2</v>
      </c>
      <c r="N381" s="9"/>
    </row>
    <row r="382" spans="2:14" x14ac:dyDescent="0.25">
      <c r="B382" t="s">
        <v>353</v>
      </c>
      <c r="C382" t="s">
        <v>55</v>
      </c>
      <c r="D382" t="s">
        <v>385</v>
      </c>
      <c r="E382" t="s">
        <v>383</v>
      </c>
      <c r="F382" s="3">
        <v>30</v>
      </c>
      <c r="G382" s="2">
        <v>0.15</v>
      </c>
      <c r="H382" s="3">
        <f t="shared" si="75"/>
        <v>34.5</v>
      </c>
      <c r="I382">
        <v>240</v>
      </c>
      <c r="J382" s="4">
        <f t="shared" si="76"/>
        <v>2.2999999999999998</v>
      </c>
      <c r="K382" s="1">
        <f t="shared" si="77"/>
        <v>2</v>
      </c>
      <c r="L382" t="s">
        <v>81</v>
      </c>
      <c r="M382">
        <v>2</v>
      </c>
      <c r="N382" s="9"/>
    </row>
    <row r="383" spans="2:14" x14ac:dyDescent="0.25">
      <c r="B383" t="s">
        <v>353</v>
      </c>
      <c r="C383" t="s">
        <v>55</v>
      </c>
      <c r="D383" t="s">
        <v>385</v>
      </c>
      <c r="E383" t="s">
        <v>384</v>
      </c>
      <c r="F383" s="3">
        <v>33</v>
      </c>
      <c r="G383" s="2">
        <v>0.15</v>
      </c>
      <c r="H383" s="3">
        <f t="shared" si="75"/>
        <v>37.950000000000003</v>
      </c>
      <c r="I383">
        <v>240</v>
      </c>
      <c r="J383" s="4">
        <f t="shared" si="76"/>
        <v>2.5300000000000002</v>
      </c>
      <c r="K383" s="1">
        <f t="shared" si="77"/>
        <v>3</v>
      </c>
      <c r="L383" t="s">
        <v>81</v>
      </c>
      <c r="M383">
        <v>3</v>
      </c>
      <c r="N383" s="9"/>
    </row>
    <row r="384" spans="2:14" x14ac:dyDescent="0.25">
      <c r="B384" t="s">
        <v>353</v>
      </c>
      <c r="C384" t="s">
        <v>55</v>
      </c>
      <c r="D384" t="s">
        <v>385</v>
      </c>
      <c r="E384" t="s">
        <v>268</v>
      </c>
      <c r="F384" s="3">
        <v>74</v>
      </c>
      <c r="G384" s="2">
        <v>0.15</v>
      </c>
      <c r="H384" s="3">
        <f t="shared" si="75"/>
        <v>85.1</v>
      </c>
      <c r="I384">
        <v>240</v>
      </c>
      <c r="J384" s="4">
        <f t="shared" si="76"/>
        <v>5.6733333333333329</v>
      </c>
      <c r="K384" s="1">
        <f t="shared" si="77"/>
        <v>6</v>
      </c>
      <c r="L384" t="s">
        <v>386</v>
      </c>
      <c r="M384">
        <v>4</v>
      </c>
      <c r="N384" s="9"/>
    </row>
    <row r="385" spans="2:14" x14ac:dyDescent="0.25">
      <c r="B385" t="s">
        <v>353</v>
      </c>
      <c r="C385" t="s">
        <v>55</v>
      </c>
      <c r="D385" t="s">
        <v>389</v>
      </c>
      <c r="E385" t="s">
        <v>387</v>
      </c>
      <c r="F385" s="3">
        <v>12</v>
      </c>
      <c r="G385" s="2">
        <v>0.15</v>
      </c>
      <c r="H385" s="3">
        <f t="shared" ref="H385:H387" si="78">+F385+(F385*G385)</f>
        <v>13.8</v>
      </c>
      <c r="I385">
        <v>240</v>
      </c>
      <c r="J385" s="4">
        <f t="shared" ref="J385:J387" si="79">+H385/(3600/I385)</f>
        <v>0.92</v>
      </c>
      <c r="K385" s="1">
        <f t="shared" si="77"/>
        <v>1</v>
      </c>
      <c r="L385" t="s">
        <v>81</v>
      </c>
      <c r="M385">
        <v>1</v>
      </c>
      <c r="N385" s="9"/>
    </row>
    <row r="386" spans="2:14" x14ac:dyDescent="0.25">
      <c r="B386" t="s">
        <v>353</v>
      </c>
      <c r="C386" t="s">
        <v>55</v>
      </c>
      <c r="D386" t="s">
        <v>389</v>
      </c>
      <c r="E386" t="s">
        <v>388</v>
      </c>
      <c r="F386" s="3">
        <v>32</v>
      </c>
      <c r="G386" s="2">
        <v>0.15</v>
      </c>
      <c r="H386" s="3">
        <f t="shared" si="78"/>
        <v>36.799999999999997</v>
      </c>
      <c r="I386">
        <v>240</v>
      </c>
      <c r="J386" s="4">
        <f t="shared" si="79"/>
        <v>2.4533333333333331</v>
      </c>
      <c r="K386" s="1">
        <f t="shared" si="77"/>
        <v>2</v>
      </c>
      <c r="L386" t="s">
        <v>81</v>
      </c>
      <c r="M386">
        <v>2</v>
      </c>
      <c r="N386" s="9"/>
    </row>
    <row r="387" spans="2:14" x14ac:dyDescent="0.25">
      <c r="B387" t="s">
        <v>353</v>
      </c>
      <c r="C387" t="s">
        <v>55</v>
      </c>
      <c r="D387" t="s">
        <v>389</v>
      </c>
      <c r="E387" s="7" t="s">
        <v>390</v>
      </c>
      <c r="F387" s="3">
        <v>16</v>
      </c>
      <c r="G387" s="2">
        <v>0.15</v>
      </c>
      <c r="H387" s="3">
        <f t="shared" si="78"/>
        <v>18.399999999999999</v>
      </c>
      <c r="I387">
        <v>240</v>
      </c>
      <c r="J387" s="4">
        <f t="shared" si="79"/>
        <v>1.2266666666666666</v>
      </c>
      <c r="K387" s="1">
        <f t="shared" si="77"/>
        <v>1</v>
      </c>
      <c r="L387" t="s">
        <v>269</v>
      </c>
      <c r="M387">
        <v>1</v>
      </c>
      <c r="N387" s="9"/>
    </row>
    <row r="388" spans="2:14" x14ac:dyDescent="0.25">
      <c r="B388" t="s">
        <v>353</v>
      </c>
      <c r="C388" t="s">
        <v>55</v>
      </c>
      <c r="D388" t="s">
        <v>395</v>
      </c>
      <c r="E388" t="s">
        <v>391</v>
      </c>
      <c r="F388" s="3">
        <v>22</v>
      </c>
      <c r="G388" s="2">
        <v>0.15</v>
      </c>
      <c r="H388" s="3">
        <f t="shared" ref="H388:H392" si="80">+F388+(F388*G388)</f>
        <v>25.3</v>
      </c>
      <c r="I388">
        <v>240</v>
      </c>
      <c r="J388" s="4">
        <f t="shared" ref="J388:J392" si="81">+H388/(3600/I388)</f>
        <v>1.6866666666666668</v>
      </c>
      <c r="K388" s="1">
        <f t="shared" si="77"/>
        <v>2</v>
      </c>
      <c r="L388" t="s">
        <v>81</v>
      </c>
      <c r="M388">
        <v>2</v>
      </c>
      <c r="N388" s="9"/>
    </row>
    <row r="389" spans="2:14" x14ac:dyDescent="0.25">
      <c r="B389" t="s">
        <v>353</v>
      </c>
      <c r="C389" t="s">
        <v>55</v>
      </c>
      <c r="D389" t="s">
        <v>395</v>
      </c>
      <c r="E389" t="s">
        <v>392</v>
      </c>
      <c r="F389" s="3">
        <v>24</v>
      </c>
      <c r="G389" s="2">
        <v>0.15</v>
      </c>
      <c r="H389" s="3">
        <f t="shared" si="80"/>
        <v>27.6</v>
      </c>
      <c r="I389">
        <v>240</v>
      </c>
      <c r="J389" s="4">
        <f t="shared" si="81"/>
        <v>1.84</v>
      </c>
      <c r="K389" s="1">
        <f t="shared" si="77"/>
        <v>2</v>
      </c>
      <c r="L389" t="s">
        <v>81</v>
      </c>
      <c r="M389">
        <v>2</v>
      </c>
      <c r="N389" s="9"/>
    </row>
    <row r="390" spans="2:14" x14ac:dyDescent="0.25">
      <c r="B390" t="s">
        <v>353</v>
      </c>
      <c r="C390" t="s">
        <v>55</v>
      </c>
      <c r="D390" t="s">
        <v>395</v>
      </c>
      <c r="E390" t="s">
        <v>393</v>
      </c>
      <c r="F390" s="3">
        <v>30</v>
      </c>
      <c r="G390" s="2">
        <v>0.15</v>
      </c>
      <c r="H390" s="3">
        <f t="shared" si="80"/>
        <v>34.5</v>
      </c>
      <c r="I390">
        <v>240</v>
      </c>
      <c r="J390" s="4">
        <f t="shared" si="81"/>
        <v>2.2999999999999998</v>
      </c>
      <c r="K390" s="1">
        <f t="shared" si="77"/>
        <v>2</v>
      </c>
      <c r="L390" t="s">
        <v>81</v>
      </c>
      <c r="M390">
        <v>2</v>
      </c>
      <c r="N390" s="9"/>
    </row>
    <row r="391" spans="2:14" x14ac:dyDescent="0.25">
      <c r="B391" t="s">
        <v>353</v>
      </c>
      <c r="C391" t="s">
        <v>55</v>
      </c>
      <c r="D391" t="s">
        <v>395</v>
      </c>
      <c r="E391" t="s">
        <v>394</v>
      </c>
      <c r="F391" s="3">
        <v>24.5</v>
      </c>
      <c r="G391" s="2">
        <v>0.15</v>
      </c>
      <c r="H391" s="3">
        <f t="shared" si="80"/>
        <v>28.175000000000001</v>
      </c>
      <c r="I391">
        <v>240</v>
      </c>
      <c r="J391" s="4">
        <f t="shared" si="81"/>
        <v>1.8783333333333334</v>
      </c>
      <c r="K391" s="1">
        <f t="shared" si="77"/>
        <v>2</v>
      </c>
      <c r="L391" t="s">
        <v>81</v>
      </c>
      <c r="M391">
        <v>2</v>
      </c>
      <c r="N391" s="9"/>
    </row>
    <row r="392" spans="2:14" x14ac:dyDescent="0.25">
      <c r="B392" t="s">
        <v>353</v>
      </c>
      <c r="C392" t="s">
        <v>55</v>
      </c>
      <c r="D392" t="s">
        <v>395</v>
      </c>
      <c r="E392" t="s">
        <v>74</v>
      </c>
      <c r="F392" s="3">
        <v>27</v>
      </c>
      <c r="G392" s="2">
        <v>0.15</v>
      </c>
      <c r="H392" s="3">
        <f t="shared" si="80"/>
        <v>31.05</v>
      </c>
      <c r="I392">
        <v>240</v>
      </c>
      <c r="J392" s="4">
        <f t="shared" si="81"/>
        <v>2.0699999999999998</v>
      </c>
      <c r="K392" s="1">
        <f t="shared" si="77"/>
        <v>2</v>
      </c>
      <c r="L392" t="s">
        <v>386</v>
      </c>
      <c r="M392">
        <v>2</v>
      </c>
      <c r="N392" s="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SGSI Dea Zahra Azizah</dc:creator>
  <cp:lastModifiedBy>SGSI Dea Zahra Azizah</cp:lastModifiedBy>
  <dcterms:created xsi:type="dcterms:W3CDTF">2026-07-30T02:33:54Z</dcterms:created>
  <dcterms:modified xsi:type="dcterms:W3CDTF">2026-07-31T10:00:01Z</dcterms:modified>
</cp:coreProperties>
</file>