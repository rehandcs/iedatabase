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_PENGEMBANGAN_AGUSTUS\ie-dashboard-app\"/>
    </mc:Choice>
  </mc:AlternateContent>
  <xr:revisionPtr revIDLastSave="0" documentId="8_{823D9F1E-3522-4807-9A2D-8B14A68B9D46}" xr6:coauthVersionLast="47" xr6:coauthVersionMax="47" xr10:uidLastSave="{00000000-0000-0000-0000-000000000000}"/>
  <bookViews>
    <workbookView xWindow="-120" yWindow="-120" windowWidth="29040" windowHeight="15720" xr2:uid="{90AF2BB7-FCD6-483E-B327-23E0B7CFA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I31" i="1" s="1"/>
  <c r="J31" i="1" s="1"/>
  <c r="L31" i="1" s="1"/>
  <c r="G30" i="1"/>
  <c r="I30" i="1" s="1"/>
  <c r="J30" i="1" s="1"/>
  <c r="L30" i="1" s="1"/>
  <c r="E29" i="1"/>
  <c r="G29" i="1" s="1"/>
  <c r="I29" i="1" s="1"/>
  <c r="J29" i="1" s="1"/>
  <c r="L29" i="1" s="1"/>
  <c r="I28" i="1"/>
  <c r="J28" i="1" s="1"/>
  <c r="L28" i="1" s="1"/>
  <c r="G28" i="1"/>
  <c r="E28" i="1"/>
  <c r="G27" i="1"/>
  <c r="I27" i="1" s="1"/>
  <c r="J27" i="1" s="1"/>
  <c r="L27" i="1" s="1"/>
  <c r="G26" i="1"/>
  <c r="I26" i="1" s="1"/>
  <c r="J26" i="1" s="1"/>
  <c r="L26" i="1" s="1"/>
  <c r="G25" i="1"/>
  <c r="I25" i="1" s="1"/>
  <c r="J25" i="1" s="1"/>
  <c r="L25" i="1" s="1"/>
  <c r="J24" i="1"/>
  <c r="L24" i="1" s="1"/>
  <c r="I24" i="1"/>
  <c r="G24" i="1"/>
  <c r="G23" i="1"/>
  <c r="I23" i="1" s="1"/>
  <c r="J23" i="1" s="1"/>
  <c r="L23" i="1" s="1"/>
  <c r="G22" i="1"/>
  <c r="I22" i="1" s="1"/>
  <c r="J22" i="1" s="1"/>
  <c r="L22" i="1" s="1"/>
  <c r="G21" i="1"/>
  <c r="I21" i="1" s="1"/>
  <c r="J21" i="1" s="1"/>
  <c r="L21" i="1" s="1"/>
  <c r="I20" i="1"/>
  <c r="J20" i="1" s="1"/>
  <c r="G20" i="1"/>
  <c r="G19" i="1"/>
  <c r="I19" i="1" s="1"/>
  <c r="J19" i="1" s="1"/>
  <c r="L19" i="1" s="1"/>
  <c r="G18" i="1"/>
  <c r="I18" i="1" s="1"/>
  <c r="J18" i="1" s="1"/>
  <c r="L18" i="1" s="1"/>
  <c r="G17" i="1"/>
  <c r="I17" i="1" s="1"/>
  <c r="J17" i="1" s="1"/>
  <c r="L17" i="1" s="1"/>
  <c r="I16" i="1"/>
  <c r="J16" i="1" s="1"/>
  <c r="L16" i="1" s="1"/>
  <c r="G16" i="1"/>
  <c r="G15" i="1"/>
  <c r="I15" i="1" s="1"/>
  <c r="J15" i="1" s="1"/>
  <c r="L15" i="1" s="1"/>
  <c r="G14" i="1"/>
  <c r="I14" i="1" s="1"/>
  <c r="J14" i="1" s="1"/>
  <c r="L14" i="1" s="1"/>
  <c r="G13" i="1"/>
  <c r="I13" i="1" s="1"/>
  <c r="J13" i="1" s="1"/>
  <c r="L13" i="1" s="1"/>
  <c r="I12" i="1"/>
  <c r="J12" i="1" s="1"/>
  <c r="L12" i="1" s="1"/>
  <c r="G12" i="1"/>
  <c r="G11" i="1"/>
  <c r="I11" i="1" s="1"/>
  <c r="J11" i="1" s="1"/>
  <c r="L11" i="1" s="1"/>
  <c r="G10" i="1"/>
  <c r="I10" i="1" s="1"/>
  <c r="J10" i="1" s="1"/>
  <c r="L10" i="1" s="1"/>
  <c r="G9" i="1"/>
  <c r="I9" i="1" s="1"/>
  <c r="J9" i="1" s="1"/>
  <c r="L9" i="1" s="1"/>
  <c r="I8" i="1"/>
  <c r="J8" i="1" s="1"/>
  <c r="L8" i="1" s="1"/>
  <c r="G8" i="1"/>
  <c r="G7" i="1"/>
  <c r="I7" i="1" s="1"/>
  <c r="J7" i="1" s="1"/>
  <c r="L7" i="1" s="1"/>
  <c r="G6" i="1"/>
  <c r="I6" i="1" s="1"/>
  <c r="J6" i="1" s="1"/>
  <c r="L6" i="1" s="1"/>
  <c r="G5" i="1"/>
  <c r="I5" i="1" s="1"/>
  <c r="J5" i="1" s="1"/>
  <c r="L5" i="1" s="1"/>
  <c r="I4" i="1"/>
  <c r="J4" i="1" s="1"/>
  <c r="L4" i="1" s="1"/>
  <c r="G4" i="1"/>
  <c r="G3" i="1"/>
  <c r="I3" i="1" s="1"/>
  <c r="J3" i="1" s="1"/>
  <c r="G2" i="1"/>
  <c r="I2" i="1" s="1"/>
  <c r="J2" i="1" s="1"/>
  <c r="L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SGSI Dea Zahra Azizah</author>
  </authors>
  <commentList>
    <comment ref="F1" authorId="0" shapeId="0" xr:uid="{F6322C8A-90A5-41BC-855A-E1628B436DCE}">
      <text>
        <r>
          <rPr>
            <sz val="9"/>
            <color indexed="81"/>
            <rFont val="Tahoma"/>
            <family val="2"/>
          </rPr>
          <t>Allowance can be fill in system</t>
        </r>
      </text>
    </comment>
    <comment ref="H1" authorId="0" shapeId="0" xr:uid="{5BF1DDA4-210C-4E8F-9372-0FAE7C5628F0}">
      <text>
        <r>
          <rPr>
            <sz val="9"/>
            <color indexed="81"/>
            <rFont val="Tahoma"/>
            <family val="2"/>
          </rPr>
          <t xml:space="preserve">Target/hour could be adjusted in system based on request
</t>
        </r>
      </text>
    </comment>
  </commentList>
</comments>
</file>

<file path=xl/sharedStrings.xml><?xml version="1.0" encoding="utf-8"?>
<sst xmlns="http://schemas.openxmlformats.org/spreadsheetml/2006/main" count="162" uniqueCount="56">
  <si>
    <t>Anthem 8</t>
  </si>
  <si>
    <t>Stitching</t>
  </si>
  <si>
    <t>Prep-Stitching</t>
  </si>
  <si>
    <t>Stitching tongue lining &amp; tongue
接鞋舌內裡與鞋舌</t>
  </si>
  <si>
    <t>1 Needle Post Stitching Machine
電腦直驅式單針羅拉車</t>
  </si>
  <si>
    <t xml:space="preserve">Tongue foam cementing and attaching &amp; tongue turning </t>
  </si>
  <si>
    <t>Adhesive HM Spraying Machine &amp; AWL
噴膠機</t>
  </si>
  <si>
    <t>Tongue edge stitching
車鞋舌邊線</t>
  </si>
  <si>
    <t>Collar lining edge stitching
車反口裡邊線</t>
  </si>
  <si>
    <t>Computer Stitching Machine 3020
電腦車</t>
  </si>
  <si>
    <t>Heel counter zigzag stitching</t>
  </si>
  <si>
    <t>Zigzag Stitching Machine (2P)
三點萬能車</t>
  </si>
  <si>
    <t>Tip zigzag stitching
鞋头打万能</t>
  </si>
  <si>
    <t>M/L eyestay and M/L gusset zigzag stitching</t>
  </si>
  <si>
    <t>EYESTAY FIX STITCHING</t>
  </si>
  <si>
    <t>VAMP AND HEEL SEAM STITCHING</t>
  </si>
  <si>
    <t>SEAM STITCHING CEMENT SPRAYING</t>
  </si>
  <si>
    <t>Adhesive HM Spraying Machine
噴膠機</t>
  </si>
  <si>
    <t>HAMMERING</t>
  </si>
  <si>
    <t>Smoothing machine
槌平機</t>
  </si>
  <si>
    <t>HEEL SEAM STITCHING</t>
  </si>
  <si>
    <t>HEEL SEAM STITCHING CEMENTING AND HAMMERING</t>
  </si>
  <si>
    <t>HEEL FIX STITCHING</t>
  </si>
  <si>
    <t>GUSSET  FIX STITCHING</t>
  </si>
  <si>
    <t>Collar lining stitchingand trimming( with 3mm collar reinf tape)
車反口裡</t>
  </si>
  <si>
    <t>Stitching heel counter
车港宝</t>
  </si>
  <si>
    <t>Main Stitching</t>
  </si>
  <si>
    <t>Spraying cement quarter
鞋身內外腰喷胶</t>
  </si>
  <si>
    <t>Spraying cement, attach collar foam
喷胶，贴领口泡棉</t>
  </si>
  <si>
    <t>Spraying cement on collar lining back side, 
反口裡背面噴膠，翻反口裡</t>
  </si>
  <si>
    <t>folding collar lining</t>
  </si>
  <si>
    <t>By hand
手工</t>
  </si>
  <si>
    <t>Repair cement collar lining
反口里两边补胶</t>
  </si>
  <si>
    <t xml:space="preserve">Fix stitching bottom edge </t>
  </si>
  <si>
    <t>Collar lining fix stitching
領口壓線</t>
  </si>
  <si>
    <t>Second time eyestay holes punching
鞋眼沖孔</t>
  </si>
  <si>
    <t>Eyelet Punching Machine
衝孔機</t>
  </si>
  <si>
    <t>Tongue stitching
接鞋舌</t>
  </si>
  <si>
    <t>Heel counter activation
烤港寶</t>
  </si>
  <si>
    <t>Heel couter activation
港寶活化機</t>
  </si>
  <si>
    <t>Back part molding
后踵定型</t>
  </si>
  <si>
    <t>2 Hot &amp; 2 Cold Molding Machine
空压气袋后踵定型2冷2热</t>
  </si>
  <si>
    <t>Bottom edge stitching
壓邊線</t>
  </si>
  <si>
    <t>Lacing
穿鞋带</t>
  </si>
  <si>
    <t>Model</t>
  </si>
  <si>
    <t>Area</t>
  </si>
  <si>
    <t>Process</t>
  </si>
  <si>
    <t>Cycle Time</t>
  </si>
  <si>
    <t>Allowance</t>
  </si>
  <si>
    <t>Cycle Time + Allowance 15%</t>
  </si>
  <si>
    <t>Target/hour</t>
  </si>
  <si>
    <t>Theoritical Manpower</t>
  </si>
  <si>
    <t>Balanced Manpower</t>
  </si>
  <si>
    <t>Machine Type</t>
  </si>
  <si>
    <t>Machine Qty</t>
  </si>
  <si>
    <t>Sub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</si>
</sst>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9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C3E7-58FF-4734-B48D-EC42C559E758}">
  <dimension ref="A1:L31"/>
  <sheetViews>
    <sheetView tabSelected="1" workbookViewId="0">
      <selection activeCell="C2" sqref="C2"/>
    </sheetView>
  </sheetViews>
  <sheetFormatPr defaultRowHeight="15" x14ac:dyDescent="0.25"/>
  <sheetData>
    <row r="1" spans="1:12" x14ac:dyDescent="0.25">
      <c r="A1" s="5" t="s">
        <v>44</v>
      </c>
      <c r="B1" s="5" t="s">
        <v>45</v>
      </c>
      <c r="C1" s="5" t="s">
        <v>55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s="1">
        <v>37.5</v>
      </c>
      <c r="F2" s="2">
        <v>0.15</v>
      </c>
      <c r="G2" s="1">
        <f t="shared" ref="G2:G31" si="0">+E2+(E2*F2)</f>
        <v>43.125</v>
      </c>
      <c r="H2">
        <v>240</v>
      </c>
      <c r="I2" s="3">
        <f t="shared" ref="I2:I31" si="1">+G2/(3600/H2)</f>
        <v>2.875</v>
      </c>
      <c r="J2" s="4">
        <f t="shared" ref="J2:J31" si="2">IF(SUM(I2:I2)=0,"NA",IF(SUM(I2:I2)&lt;1,1,IF(MOD(SUM(I2:I2),1)&gt;=0.5,ROUNDUP(SUM(I2:I2),0),ROUNDDOWN(SUM(I2:I2),0))))</f>
        <v>3</v>
      </c>
      <c r="K2" t="s">
        <v>4</v>
      </c>
      <c r="L2" s="3">
        <f t="shared" ref="L2:L31" si="3">+J2</f>
        <v>3</v>
      </c>
    </row>
    <row r="3" spans="1:12" x14ac:dyDescent="0.25">
      <c r="A3" t="s">
        <v>0</v>
      </c>
      <c r="B3" t="s">
        <v>1</v>
      </c>
      <c r="C3" t="s">
        <v>2</v>
      </c>
      <c r="D3" t="s">
        <v>5</v>
      </c>
      <c r="E3" s="1">
        <v>46</v>
      </c>
      <c r="F3" s="2">
        <v>0.15</v>
      </c>
      <c r="G3" s="1">
        <f t="shared" si="0"/>
        <v>52.9</v>
      </c>
      <c r="H3">
        <v>240</v>
      </c>
      <c r="I3" s="3">
        <f t="shared" si="1"/>
        <v>3.5266666666666664</v>
      </c>
      <c r="J3" s="4">
        <f t="shared" si="2"/>
        <v>4</v>
      </c>
      <c r="K3" t="s">
        <v>6</v>
      </c>
      <c r="L3" s="3">
        <v>1</v>
      </c>
    </row>
    <row r="4" spans="1:12" x14ac:dyDescent="0.25">
      <c r="A4" t="s">
        <v>0</v>
      </c>
      <c r="B4" t="s">
        <v>1</v>
      </c>
      <c r="C4" t="s">
        <v>2</v>
      </c>
      <c r="D4" t="s">
        <v>7</v>
      </c>
      <c r="E4" s="1">
        <v>24</v>
      </c>
      <c r="F4" s="2">
        <v>0.15</v>
      </c>
      <c r="G4" s="1">
        <f t="shared" si="0"/>
        <v>27.6</v>
      </c>
      <c r="H4">
        <v>240</v>
      </c>
      <c r="I4" s="3">
        <f t="shared" si="1"/>
        <v>1.84</v>
      </c>
      <c r="J4" s="4">
        <f t="shared" si="2"/>
        <v>2</v>
      </c>
      <c r="K4" t="s">
        <v>4</v>
      </c>
      <c r="L4" s="3">
        <f t="shared" si="3"/>
        <v>2</v>
      </c>
    </row>
    <row r="5" spans="1:12" x14ac:dyDescent="0.25">
      <c r="A5" t="s">
        <v>0</v>
      </c>
      <c r="B5" t="s">
        <v>1</v>
      </c>
      <c r="C5" t="s">
        <v>2</v>
      </c>
      <c r="D5" t="s">
        <v>8</v>
      </c>
      <c r="E5" s="1">
        <v>22</v>
      </c>
      <c r="F5" s="2">
        <v>0.15</v>
      </c>
      <c r="G5" s="1">
        <f t="shared" si="0"/>
        <v>25.3</v>
      </c>
      <c r="H5">
        <v>240</v>
      </c>
      <c r="I5" s="3">
        <f t="shared" si="1"/>
        <v>1.6866666666666668</v>
      </c>
      <c r="J5" s="4">
        <f t="shared" si="2"/>
        <v>2</v>
      </c>
      <c r="K5" t="s">
        <v>9</v>
      </c>
      <c r="L5" s="3">
        <f t="shared" si="3"/>
        <v>2</v>
      </c>
    </row>
    <row r="6" spans="1:12" x14ac:dyDescent="0.25">
      <c r="A6" t="s">
        <v>0</v>
      </c>
      <c r="B6" t="s">
        <v>1</v>
      </c>
      <c r="C6" t="s">
        <v>2</v>
      </c>
      <c r="D6" t="s">
        <v>10</v>
      </c>
      <c r="E6" s="1">
        <v>18</v>
      </c>
      <c r="F6" s="2">
        <v>0.15</v>
      </c>
      <c r="G6" s="1">
        <f t="shared" si="0"/>
        <v>20.7</v>
      </c>
      <c r="H6">
        <v>240</v>
      </c>
      <c r="I6" s="3">
        <f t="shared" si="1"/>
        <v>1.38</v>
      </c>
      <c r="J6" s="4">
        <f t="shared" si="2"/>
        <v>1</v>
      </c>
      <c r="K6" t="s">
        <v>11</v>
      </c>
      <c r="L6" s="3">
        <f t="shared" si="3"/>
        <v>1</v>
      </c>
    </row>
    <row r="7" spans="1:12" x14ac:dyDescent="0.25">
      <c r="A7" t="s">
        <v>0</v>
      </c>
      <c r="B7" t="s">
        <v>1</v>
      </c>
      <c r="C7" t="s">
        <v>2</v>
      </c>
      <c r="D7" t="s">
        <v>12</v>
      </c>
      <c r="E7" s="1">
        <v>16</v>
      </c>
      <c r="F7" s="2">
        <v>0.15</v>
      </c>
      <c r="G7" s="1">
        <f t="shared" si="0"/>
        <v>18.399999999999999</v>
      </c>
      <c r="H7">
        <v>240</v>
      </c>
      <c r="I7" s="3">
        <f t="shared" si="1"/>
        <v>1.2266666666666666</v>
      </c>
      <c r="J7" s="4">
        <f t="shared" si="2"/>
        <v>1</v>
      </c>
      <c r="K7" t="s">
        <v>11</v>
      </c>
      <c r="L7" s="3">
        <f t="shared" si="3"/>
        <v>1</v>
      </c>
    </row>
    <row r="8" spans="1:12" x14ac:dyDescent="0.25">
      <c r="A8" t="s">
        <v>0</v>
      </c>
      <c r="B8" t="s">
        <v>1</v>
      </c>
      <c r="C8" t="s">
        <v>2</v>
      </c>
      <c r="D8" t="s">
        <v>13</v>
      </c>
      <c r="E8" s="1">
        <v>78</v>
      </c>
      <c r="F8" s="2">
        <v>0.15</v>
      </c>
      <c r="G8" s="1">
        <f t="shared" si="0"/>
        <v>89.7</v>
      </c>
      <c r="H8">
        <v>240</v>
      </c>
      <c r="I8" s="3">
        <f t="shared" si="1"/>
        <v>5.98</v>
      </c>
      <c r="J8" s="4">
        <f t="shared" si="2"/>
        <v>6</v>
      </c>
      <c r="K8" t="s">
        <v>11</v>
      </c>
      <c r="L8" s="3">
        <f t="shared" si="3"/>
        <v>6</v>
      </c>
    </row>
    <row r="9" spans="1:12" x14ac:dyDescent="0.25">
      <c r="A9" t="s">
        <v>0</v>
      </c>
      <c r="B9" t="s">
        <v>1</v>
      </c>
      <c r="C9" t="s">
        <v>2</v>
      </c>
      <c r="D9" t="s">
        <v>14</v>
      </c>
      <c r="E9" s="1">
        <v>24</v>
      </c>
      <c r="F9" s="2">
        <v>0.15</v>
      </c>
      <c r="G9" s="1">
        <f t="shared" si="0"/>
        <v>27.6</v>
      </c>
      <c r="H9">
        <v>240</v>
      </c>
      <c r="I9" s="3">
        <f t="shared" si="1"/>
        <v>1.84</v>
      </c>
      <c r="J9" s="4">
        <f t="shared" si="2"/>
        <v>2</v>
      </c>
      <c r="K9" t="s">
        <v>9</v>
      </c>
      <c r="L9" s="3">
        <f t="shared" si="3"/>
        <v>2</v>
      </c>
    </row>
    <row r="10" spans="1:12" x14ac:dyDescent="0.25">
      <c r="A10" t="s">
        <v>0</v>
      </c>
      <c r="B10" t="s">
        <v>1</v>
      </c>
      <c r="C10" t="s">
        <v>2</v>
      </c>
      <c r="D10" t="s">
        <v>15</v>
      </c>
      <c r="E10" s="1">
        <v>84.6</v>
      </c>
      <c r="F10" s="2">
        <v>0.15</v>
      </c>
      <c r="G10" s="1">
        <f t="shared" si="0"/>
        <v>97.289999999999992</v>
      </c>
      <c r="H10">
        <v>240</v>
      </c>
      <c r="I10" s="3">
        <f t="shared" si="1"/>
        <v>6.4859999999999998</v>
      </c>
      <c r="J10" s="4">
        <f t="shared" si="2"/>
        <v>6</v>
      </c>
      <c r="K10" t="s">
        <v>4</v>
      </c>
      <c r="L10" s="3">
        <f t="shared" si="3"/>
        <v>6</v>
      </c>
    </row>
    <row r="11" spans="1:12" x14ac:dyDescent="0.25">
      <c r="A11" t="s">
        <v>0</v>
      </c>
      <c r="B11" t="s">
        <v>1</v>
      </c>
      <c r="C11" t="s">
        <v>2</v>
      </c>
      <c r="D11" t="s">
        <v>16</v>
      </c>
      <c r="E11" s="1">
        <v>24</v>
      </c>
      <c r="F11" s="2">
        <v>0.15</v>
      </c>
      <c r="G11" s="1">
        <f t="shared" si="0"/>
        <v>27.6</v>
      </c>
      <c r="H11">
        <v>240</v>
      </c>
      <c r="I11" s="3">
        <f t="shared" si="1"/>
        <v>1.84</v>
      </c>
      <c r="J11" s="4">
        <f t="shared" si="2"/>
        <v>2</v>
      </c>
      <c r="K11" t="s">
        <v>17</v>
      </c>
      <c r="L11" s="3">
        <f t="shared" si="3"/>
        <v>2</v>
      </c>
    </row>
    <row r="12" spans="1:12" x14ac:dyDescent="0.25">
      <c r="A12" t="s">
        <v>0</v>
      </c>
      <c r="B12" t="s">
        <v>1</v>
      </c>
      <c r="C12" t="s">
        <v>2</v>
      </c>
      <c r="D12" t="s">
        <v>18</v>
      </c>
      <c r="E12" s="1">
        <v>22</v>
      </c>
      <c r="F12" s="2">
        <v>0.15</v>
      </c>
      <c r="G12" s="1">
        <f t="shared" si="0"/>
        <v>25.3</v>
      </c>
      <c r="H12">
        <v>240</v>
      </c>
      <c r="I12" s="3">
        <f t="shared" si="1"/>
        <v>1.6866666666666668</v>
      </c>
      <c r="J12" s="4">
        <f t="shared" si="2"/>
        <v>2</v>
      </c>
      <c r="K12" t="s">
        <v>19</v>
      </c>
      <c r="L12" s="3">
        <f t="shared" si="3"/>
        <v>2</v>
      </c>
    </row>
    <row r="13" spans="1:12" x14ac:dyDescent="0.25">
      <c r="A13" t="s">
        <v>0</v>
      </c>
      <c r="B13" t="s">
        <v>1</v>
      </c>
      <c r="C13" t="s">
        <v>2</v>
      </c>
      <c r="D13" t="s">
        <v>20</v>
      </c>
      <c r="E13" s="1">
        <v>16</v>
      </c>
      <c r="F13" s="2">
        <v>0.15</v>
      </c>
      <c r="G13" s="1">
        <f t="shared" si="0"/>
        <v>18.399999999999999</v>
      </c>
      <c r="H13">
        <v>240</v>
      </c>
      <c r="I13" s="3">
        <f t="shared" si="1"/>
        <v>1.2266666666666666</v>
      </c>
      <c r="J13" s="4">
        <f t="shared" si="2"/>
        <v>1</v>
      </c>
      <c r="K13" t="s">
        <v>9</v>
      </c>
      <c r="L13" s="3">
        <f t="shared" si="3"/>
        <v>1</v>
      </c>
    </row>
    <row r="14" spans="1:12" x14ac:dyDescent="0.25">
      <c r="A14" t="s">
        <v>0</v>
      </c>
      <c r="B14" t="s">
        <v>1</v>
      </c>
      <c r="C14" t="s">
        <v>2</v>
      </c>
      <c r="D14" t="s">
        <v>21</v>
      </c>
      <c r="E14" s="1">
        <v>25</v>
      </c>
      <c r="F14" s="2">
        <v>0.15</v>
      </c>
      <c r="G14" s="1">
        <f t="shared" si="0"/>
        <v>28.75</v>
      </c>
      <c r="H14">
        <v>240</v>
      </c>
      <c r="I14" s="3">
        <f t="shared" si="1"/>
        <v>1.9166666666666667</v>
      </c>
      <c r="J14" s="4">
        <f t="shared" si="2"/>
        <v>2</v>
      </c>
      <c r="K14" t="s">
        <v>19</v>
      </c>
      <c r="L14" s="3">
        <f t="shared" si="3"/>
        <v>2</v>
      </c>
    </row>
    <row r="15" spans="1:12" x14ac:dyDescent="0.25">
      <c r="A15" t="s">
        <v>0</v>
      </c>
      <c r="B15" t="s">
        <v>1</v>
      </c>
      <c r="C15" t="s">
        <v>2</v>
      </c>
      <c r="D15" t="s">
        <v>22</v>
      </c>
      <c r="E15" s="1">
        <v>22</v>
      </c>
      <c r="F15" s="2">
        <v>0.15</v>
      </c>
      <c r="G15" s="1">
        <f t="shared" si="0"/>
        <v>25.3</v>
      </c>
      <c r="H15">
        <v>240</v>
      </c>
      <c r="I15" s="3">
        <f t="shared" si="1"/>
        <v>1.6866666666666668</v>
      </c>
      <c r="J15" s="4">
        <f t="shared" si="2"/>
        <v>2</v>
      </c>
      <c r="K15" t="s">
        <v>4</v>
      </c>
      <c r="L15" s="3">
        <f t="shared" si="3"/>
        <v>2</v>
      </c>
    </row>
    <row r="16" spans="1:12" x14ac:dyDescent="0.25">
      <c r="A16" t="s">
        <v>0</v>
      </c>
      <c r="B16" t="s">
        <v>1</v>
      </c>
      <c r="C16" t="s">
        <v>2</v>
      </c>
      <c r="D16" t="s">
        <v>23</v>
      </c>
      <c r="E16" s="1">
        <v>28</v>
      </c>
      <c r="F16" s="2">
        <v>0.15</v>
      </c>
      <c r="G16" s="1">
        <f t="shared" si="0"/>
        <v>32.200000000000003</v>
      </c>
      <c r="H16">
        <v>240</v>
      </c>
      <c r="I16" s="3">
        <f t="shared" si="1"/>
        <v>2.1466666666666669</v>
      </c>
      <c r="J16" s="4">
        <f t="shared" si="2"/>
        <v>2</v>
      </c>
      <c r="K16" t="s">
        <v>4</v>
      </c>
      <c r="L16" s="3">
        <f t="shared" si="3"/>
        <v>2</v>
      </c>
    </row>
    <row r="17" spans="1:12" x14ac:dyDescent="0.25">
      <c r="A17" t="s">
        <v>0</v>
      </c>
      <c r="B17" t="s">
        <v>1</v>
      </c>
      <c r="C17" t="s">
        <v>2</v>
      </c>
      <c r="D17" t="s">
        <v>24</v>
      </c>
      <c r="E17" s="1">
        <v>84</v>
      </c>
      <c r="F17" s="2">
        <v>0.15</v>
      </c>
      <c r="G17" s="1">
        <f t="shared" si="0"/>
        <v>96.6</v>
      </c>
      <c r="H17">
        <v>240</v>
      </c>
      <c r="I17" s="3">
        <f t="shared" si="1"/>
        <v>6.4399999999999995</v>
      </c>
      <c r="J17" s="4">
        <f t="shared" si="2"/>
        <v>6</v>
      </c>
      <c r="K17" t="s">
        <v>4</v>
      </c>
      <c r="L17" s="3">
        <f t="shared" si="3"/>
        <v>6</v>
      </c>
    </row>
    <row r="18" spans="1:12" x14ac:dyDescent="0.25">
      <c r="A18" t="s">
        <v>0</v>
      </c>
      <c r="B18" t="s">
        <v>1</v>
      </c>
      <c r="C18" t="s">
        <v>2</v>
      </c>
      <c r="D18" t="s">
        <v>25</v>
      </c>
      <c r="E18" s="1">
        <v>20</v>
      </c>
      <c r="F18" s="2">
        <v>0.15</v>
      </c>
      <c r="G18" s="1">
        <f t="shared" si="0"/>
        <v>23</v>
      </c>
      <c r="H18">
        <v>240</v>
      </c>
      <c r="I18" s="3">
        <f t="shared" si="1"/>
        <v>1.5333333333333334</v>
      </c>
      <c r="J18" s="4">
        <f t="shared" si="2"/>
        <v>2</v>
      </c>
      <c r="K18" t="s">
        <v>4</v>
      </c>
      <c r="L18" s="3">
        <f t="shared" si="3"/>
        <v>2</v>
      </c>
    </row>
    <row r="19" spans="1:12" x14ac:dyDescent="0.25">
      <c r="A19" t="s">
        <v>0</v>
      </c>
      <c r="B19" t="s">
        <v>1</v>
      </c>
      <c r="C19" t="s">
        <v>26</v>
      </c>
      <c r="D19" t="s">
        <v>27</v>
      </c>
      <c r="E19" s="1">
        <v>22</v>
      </c>
      <c r="F19" s="2">
        <v>0.15</v>
      </c>
      <c r="G19" s="1">
        <f t="shared" si="0"/>
        <v>25.3</v>
      </c>
      <c r="H19">
        <v>240</v>
      </c>
      <c r="I19" s="3">
        <f t="shared" si="1"/>
        <v>1.6866666666666668</v>
      </c>
      <c r="J19" s="4">
        <f t="shared" si="2"/>
        <v>2</v>
      </c>
      <c r="K19" t="s">
        <v>17</v>
      </c>
      <c r="L19" s="3">
        <f t="shared" si="3"/>
        <v>2</v>
      </c>
    </row>
    <row r="20" spans="1:12" x14ac:dyDescent="0.25">
      <c r="A20" t="s">
        <v>0</v>
      </c>
      <c r="B20" t="s">
        <v>1</v>
      </c>
      <c r="C20" t="s">
        <v>26</v>
      </c>
      <c r="D20" t="s">
        <v>28</v>
      </c>
      <c r="E20" s="1">
        <v>37.6</v>
      </c>
      <c r="F20" s="2">
        <v>0.15</v>
      </c>
      <c r="G20" s="1">
        <f t="shared" si="0"/>
        <v>43.24</v>
      </c>
      <c r="H20">
        <v>240</v>
      </c>
      <c r="I20" s="3">
        <f t="shared" si="1"/>
        <v>2.8826666666666667</v>
      </c>
      <c r="J20" s="4">
        <f t="shared" si="2"/>
        <v>3</v>
      </c>
      <c r="K20" t="s">
        <v>17</v>
      </c>
      <c r="L20" s="3">
        <v>1</v>
      </c>
    </row>
    <row r="21" spans="1:12" x14ac:dyDescent="0.25">
      <c r="A21" t="s">
        <v>0</v>
      </c>
      <c r="B21" t="s">
        <v>1</v>
      </c>
      <c r="C21" t="s">
        <v>26</v>
      </c>
      <c r="D21" t="s">
        <v>29</v>
      </c>
      <c r="E21" s="1">
        <v>21.5</v>
      </c>
      <c r="F21" s="2">
        <v>0.15</v>
      </c>
      <c r="G21" s="1">
        <f t="shared" si="0"/>
        <v>24.725000000000001</v>
      </c>
      <c r="H21">
        <v>240</v>
      </c>
      <c r="I21" s="3">
        <f t="shared" si="1"/>
        <v>1.6483333333333334</v>
      </c>
      <c r="J21" s="4">
        <f t="shared" si="2"/>
        <v>2</v>
      </c>
      <c r="K21" t="s">
        <v>17</v>
      </c>
      <c r="L21" s="3">
        <f t="shared" si="3"/>
        <v>2</v>
      </c>
    </row>
    <row r="22" spans="1:12" x14ac:dyDescent="0.25">
      <c r="A22" t="s">
        <v>0</v>
      </c>
      <c r="B22" t="s">
        <v>1</v>
      </c>
      <c r="C22" t="s">
        <v>26</v>
      </c>
      <c r="D22" t="s">
        <v>30</v>
      </c>
      <c r="E22" s="1">
        <v>79.5</v>
      </c>
      <c r="F22" s="2">
        <v>0.15</v>
      </c>
      <c r="G22" s="1">
        <f t="shared" si="0"/>
        <v>91.424999999999997</v>
      </c>
      <c r="H22">
        <v>240</v>
      </c>
      <c r="I22" s="3">
        <f t="shared" si="1"/>
        <v>6.0949999999999998</v>
      </c>
      <c r="J22" s="4">
        <f t="shared" si="2"/>
        <v>6</v>
      </c>
      <c r="K22" t="s">
        <v>31</v>
      </c>
      <c r="L22" s="3">
        <f t="shared" si="3"/>
        <v>6</v>
      </c>
    </row>
    <row r="23" spans="1:12" x14ac:dyDescent="0.25">
      <c r="A23" t="s">
        <v>0</v>
      </c>
      <c r="B23" t="s">
        <v>1</v>
      </c>
      <c r="C23" t="s">
        <v>26</v>
      </c>
      <c r="D23" t="s">
        <v>32</v>
      </c>
      <c r="E23" s="1">
        <v>21.5</v>
      </c>
      <c r="F23" s="2">
        <v>0.15</v>
      </c>
      <c r="G23" s="1">
        <f t="shared" si="0"/>
        <v>24.725000000000001</v>
      </c>
      <c r="H23">
        <v>240</v>
      </c>
      <c r="I23" s="3">
        <f t="shared" si="1"/>
        <v>1.6483333333333334</v>
      </c>
      <c r="J23" s="4">
        <f t="shared" si="2"/>
        <v>2</v>
      </c>
      <c r="K23" t="s">
        <v>31</v>
      </c>
      <c r="L23" s="3">
        <f t="shared" si="3"/>
        <v>2</v>
      </c>
    </row>
    <row r="24" spans="1:12" x14ac:dyDescent="0.25">
      <c r="A24" t="s">
        <v>0</v>
      </c>
      <c r="B24" t="s">
        <v>1</v>
      </c>
      <c r="C24" t="s">
        <v>26</v>
      </c>
      <c r="D24" t="s">
        <v>33</v>
      </c>
      <c r="E24" s="1">
        <v>16</v>
      </c>
      <c r="F24" s="2">
        <v>0.15</v>
      </c>
      <c r="G24" s="1">
        <f t="shared" si="0"/>
        <v>18.399999999999999</v>
      </c>
      <c r="H24">
        <v>240</v>
      </c>
      <c r="I24" s="3">
        <f t="shared" si="1"/>
        <v>1.2266666666666666</v>
      </c>
      <c r="J24" s="4">
        <f t="shared" si="2"/>
        <v>1</v>
      </c>
      <c r="K24" t="s">
        <v>4</v>
      </c>
      <c r="L24" s="3">
        <f t="shared" si="3"/>
        <v>1</v>
      </c>
    </row>
    <row r="25" spans="1:12" x14ac:dyDescent="0.25">
      <c r="A25" t="s">
        <v>0</v>
      </c>
      <c r="B25" t="s">
        <v>1</v>
      </c>
      <c r="C25" t="s">
        <v>26</v>
      </c>
      <c r="D25" t="s">
        <v>34</v>
      </c>
      <c r="E25" s="1">
        <v>21.6</v>
      </c>
      <c r="F25" s="2">
        <v>0.15</v>
      </c>
      <c r="G25" s="1">
        <f t="shared" si="0"/>
        <v>24.840000000000003</v>
      </c>
      <c r="H25">
        <v>240</v>
      </c>
      <c r="I25" s="3">
        <f t="shared" si="1"/>
        <v>1.6560000000000001</v>
      </c>
      <c r="J25" s="4">
        <f t="shared" si="2"/>
        <v>2</v>
      </c>
      <c r="K25" t="s">
        <v>9</v>
      </c>
      <c r="L25" s="3">
        <f t="shared" si="3"/>
        <v>2</v>
      </c>
    </row>
    <row r="26" spans="1:12" x14ac:dyDescent="0.25">
      <c r="A26" t="s">
        <v>0</v>
      </c>
      <c r="B26" t="s">
        <v>1</v>
      </c>
      <c r="C26" t="s">
        <v>26</v>
      </c>
      <c r="D26" t="s">
        <v>35</v>
      </c>
      <c r="E26" s="1">
        <v>26.1</v>
      </c>
      <c r="F26" s="2">
        <v>0.15</v>
      </c>
      <c r="G26" s="1">
        <f t="shared" si="0"/>
        <v>30.015000000000001</v>
      </c>
      <c r="H26">
        <v>240</v>
      </c>
      <c r="I26" s="3">
        <f t="shared" si="1"/>
        <v>2.0009999999999999</v>
      </c>
      <c r="J26" s="4">
        <f t="shared" si="2"/>
        <v>2</v>
      </c>
      <c r="K26" t="s">
        <v>36</v>
      </c>
      <c r="L26" s="3">
        <f t="shared" si="3"/>
        <v>2</v>
      </c>
    </row>
    <row r="27" spans="1:12" x14ac:dyDescent="0.25">
      <c r="A27" t="s">
        <v>0</v>
      </c>
      <c r="B27" t="s">
        <v>1</v>
      </c>
      <c r="C27" t="s">
        <v>26</v>
      </c>
      <c r="D27" t="s">
        <v>37</v>
      </c>
      <c r="E27" s="1">
        <v>26.5</v>
      </c>
      <c r="F27" s="2">
        <v>0.15</v>
      </c>
      <c r="G27" s="1">
        <f t="shared" si="0"/>
        <v>30.475000000000001</v>
      </c>
      <c r="H27">
        <v>240</v>
      </c>
      <c r="I27" s="3">
        <f t="shared" si="1"/>
        <v>2.0316666666666667</v>
      </c>
      <c r="J27" s="4">
        <f t="shared" si="2"/>
        <v>2</v>
      </c>
      <c r="K27" t="s">
        <v>9</v>
      </c>
      <c r="L27" s="3">
        <f t="shared" si="3"/>
        <v>2</v>
      </c>
    </row>
    <row r="28" spans="1:12" x14ac:dyDescent="0.25">
      <c r="A28" t="s">
        <v>0</v>
      </c>
      <c r="B28" t="s">
        <v>1</v>
      </c>
      <c r="C28" t="s">
        <v>26</v>
      </c>
      <c r="D28" t="s">
        <v>38</v>
      </c>
      <c r="E28" s="1">
        <f>49.11/2</f>
        <v>24.555</v>
      </c>
      <c r="F28" s="2">
        <v>0.15</v>
      </c>
      <c r="G28" s="1">
        <f t="shared" si="0"/>
        <v>28.238250000000001</v>
      </c>
      <c r="H28">
        <v>240</v>
      </c>
      <c r="I28" s="3">
        <f t="shared" si="1"/>
        <v>1.8825499999999999</v>
      </c>
      <c r="J28" s="4">
        <f t="shared" si="2"/>
        <v>2</v>
      </c>
      <c r="K28" t="s">
        <v>39</v>
      </c>
      <c r="L28" s="3">
        <f t="shared" si="3"/>
        <v>2</v>
      </c>
    </row>
    <row r="29" spans="1:12" x14ac:dyDescent="0.25">
      <c r="A29" t="s">
        <v>0</v>
      </c>
      <c r="B29" t="s">
        <v>1</v>
      </c>
      <c r="C29" t="s">
        <v>26</v>
      </c>
      <c r="D29" t="s">
        <v>40</v>
      </c>
      <c r="E29" s="1">
        <f>49.11/2</f>
        <v>24.555</v>
      </c>
      <c r="F29" s="2">
        <v>0.15</v>
      </c>
      <c r="G29" s="1">
        <f t="shared" si="0"/>
        <v>28.238250000000001</v>
      </c>
      <c r="H29">
        <v>240</v>
      </c>
      <c r="I29" s="3">
        <f t="shared" si="1"/>
        <v>1.8825499999999999</v>
      </c>
      <c r="J29" s="4">
        <f t="shared" si="2"/>
        <v>2</v>
      </c>
      <c r="K29" t="s">
        <v>41</v>
      </c>
      <c r="L29" s="3">
        <f t="shared" si="3"/>
        <v>2</v>
      </c>
    </row>
    <row r="30" spans="1:12" x14ac:dyDescent="0.25">
      <c r="A30" t="s">
        <v>0</v>
      </c>
      <c r="B30" t="s">
        <v>1</v>
      </c>
      <c r="C30" t="s">
        <v>26</v>
      </c>
      <c r="D30" t="s">
        <v>42</v>
      </c>
      <c r="E30" s="1">
        <v>23</v>
      </c>
      <c r="F30" s="2">
        <v>0.15</v>
      </c>
      <c r="G30" s="1">
        <f t="shared" si="0"/>
        <v>26.45</v>
      </c>
      <c r="H30">
        <v>240</v>
      </c>
      <c r="I30" s="3">
        <f t="shared" si="1"/>
        <v>1.7633333333333332</v>
      </c>
      <c r="J30" s="4">
        <f t="shared" si="2"/>
        <v>2</v>
      </c>
      <c r="K30" t="s">
        <v>4</v>
      </c>
      <c r="L30" s="3">
        <f t="shared" si="3"/>
        <v>2</v>
      </c>
    </row>
    <row r="31" spans="1:12" x14ac:dyDescent="0.25">
      <c r="A31" t="s">
        <v>0</v>
      </c>
      <c r="B31" t="s">
        <v>1</v>
      </c>
      <c r="C31" t="s">
        <v>26</v>
      </c>
      <c r="D31" t="s">
        <v>43</v>
      </c>
      <c r="E31" s="1">
        <v>98</v>
      </c>
      <c r="F31" s="2">
        <v>0.15</v>
      </c>
      <c r="G31" s="1">
        <f t="shared" si="0"/>
        <v>112.7</v>
      </c>
      <c r="H31">
        <v>240</v>
      </c>
      <c r="I31" s="3">
        <f t="shared" si="1"/>
        <v>7.5133333333333336</v>
      </c>
      <c r="J31" s="4">
        <f t="shared" si="2"/>
        <v>8</v>
      </c>
      <c r="K31" t="s">
        <v>31</v>
      </c>
      <c r="L31" s="3">
        <f t="shared" si="3"/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SGSI Rehand.Naifisurya</dc:creator>
  <cp:lastModifiedBy>SGSI Rehand.Naifisurya</cp:lastModifiedBy>
  <dcterms:created xsi:type="dcterms:W3CDTF">2026-08-05T06:08:01Z</dcterms:created>
  <dcterms:modified xsi:type="dcterms:W3CDTF">2026-08-05T06:09:23Z</dcterms:modified>
</cp:coreProperties>
</file>